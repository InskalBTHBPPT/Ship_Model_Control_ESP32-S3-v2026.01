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ngujian\Ship_Model_Control_ESP32-S3 v2026.01\Dokumentasi\"/>
    </mc:Choice>
  </mc:AlternateContent>
  <xr:revisionPtr revIDLastSave="0" documentId="13_ncr:1_{550E95D4-8426-42C1-8AE9-2BDC4B546AE9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N_MacAdress" sheetId="1" r:id="rId1"/>
    <sheet name="RAB" sheetId="9" r:id="rId2"/>
    <sheet name="Jam Kerja" sheetId="12" r:id="rId3"/>
    <sheet name="Connection" sheetId="5" r:id="rId4"/>
    <sheet name="Konektor" sheetId="10" r:id="rId5"/>
    <sheet name="Daftar Project" sheetId="6" r:id="rId6"/>
    <sheet name="Kalibrasi servo rudder" sheetId="4" r:id="rId7"/>
    <sheet name="Validasi Servo Rudder 1" sheetId="13" r:id="rId8"/>
    <sheet name="Konfigurasi RC" sheetId="2" r:id="rId9"/>
    <sheet name="rpm motor prop 1" sheetId="8" r:id="rId10"/>
    <sheet name="Check rudder" sheetId="11" r:id="rId11"/>
    <sheet name="Rudder (unused)" sheetId="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3" l="1"/>
  <c r="C21" i="13"/>
  <c r="C22" i="13"/>
  <c r="C23" i="13"/>
  <c r="C24" i="13"/>
  <c r="C25" i="13"/>
  <c r="C19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3" i="13"/>
  <c r="F3" i="13"/>
  <c r="F4" i="13"/>
  <c r="F5" i="13"/>
  <c r="F6" i="13"/>
  <c r="G6" i="13" s="1"/>
  <c r="F7" i="13"/>
  <c r="F8" i="13"/>
  <c r="G8" i="13" s="1"/>
  <c r="F9" i="13"/>
  <c r="F10" i="13"/>
  <c r="F11" i="13"/>
  <c r="F12" i="13"/>
  <c r="F13" i="13"/>
  <c r="F14" i="13"/>
  <c r="F15" i="13"/>
  <c r="F16" i="13"/>
  <c r="G16" i="13" s="1"/>
  <c r="F17" i="13"/>
  <c r="E4" i="13"/>
  <c r="G4" i="13" s="1"/>
  <c r="E5" i="13"/>
  <c r="E6" i="13"/>
  <c r="E7" i="13"/>
  <c r="E8" i="13"/>
  <c r="E9" i="13"/>
  <c r="E10" i="13"/>
  <c r="G10" i="13" s="1"/>
  <c r="E11" i="13"/>
  <c r="G11" i="13" s="1"/>
  <c r="E12" i="13"/>
  <c r="E13" i="13"/>
  <c r="E14" i="13"/>
  <c r="E15" i="13"/>
  <c r="E16" i="13"/>
  <c r="E17" i="13"/>
  <c r="G17" i="13" s="1"/>
  <c r="E3" i="13"/>
  <c r="G3" i="13" s="1"/>
  <c r="F31" i="9"/>
  <c r="F30" i="9"/>
  <c r="C25" i="12"/>
  <c r="F44" i="9"/>
  <c r="E23" i="11"/>
  <c r="F23" i="11" s="1"/>
  <c r="E22" i="11"/>
  <c r="F22" i="11" s="1"/>
  <c r="E21" i="11"/>
  <c r="F21" i="11" s="1"/>
  <c r="E20" i="11"/>
  <c r="F20" i="11" s="1"/>
  <c r="E19" i="11"/>
  <c r="F19" i="11" s="1"/>
  <c r="E18" i="11"/>
  <c r="F18" i="11" s="1"/>
  <c r="E17" i="11"/>
  <c r="F17" i="11" s="1"/>
  <c r="E12" i="11"/>
  <c r="F12" i="11" s="1"/>
  <c r="E11" i="11"/>
  <c r="F11" i="11" s="1"/>
  <c r="E10" i="11"/>
  <c r="F10" i="11" s="1"/>
  <c r="E9" i="11"/>
  <c r="F9" i="11" s="1"/>
  <c r="E8" i="11"/>
  <c r="F8" i="11" s="1"/>
  <c r="E7" i="11"/>
  <c r="F7" i="11" s="1"/>
  <c r="E6" i="11"/>
  <c r="F6" i="11" s="1"/>
  <c r="F43" i="9"/>
  <c r="F42" i="9"/>
  <c r="F41" i="9"/>
  <c r="F40" i="9"/>
  <c r="F39" i="9"/>
  <c r="F37" i="9"/>
  <c r="F29" i="9"/>
  <c r="F28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10" i="9"/>
  <c r="F11" i="9"/>
  <c r="F12" i="9"/>
  <c r="F9" i="9"/>
  <c r="G37" i="4"/>
  <c r="H37" i="4" s="1"/>
  <c r="I37" i="4" s="1"/>
  <c r="E37" i="4"/>
  <c r="D37" i="4"/>
  <c r="G36" i="4"/>
  <c r="H36" i="4" s="1"/>
  <c r="I36" i="4" s="1"/>
  <c r="E36" i="4"/>
  <c r="D36" i="4"/>
  <c r="G35" i="4"/>
  <c r="H35" i="4" s="1"/>
  <c r="I35" i="4" s="1"/>
  <c r="E35" i="4"/>
  <c r="D35" i="4"/>
  <c r="G34" i="4"/>
  <c r="H34" i="4" s="1"/>
  <c r="I34" i="4" s="1"/>
  <c r="E34" i="4"/>
  <c r="D34" i="4"/>
  <c r="G33" i="4"/>
  <c r="H33" i="4" s="1"/>
  <c r="I33" i="4" s="1"/>
  <c r="E33" i="4"/>
  <c r="D33" i="4"/>
  <c r="G32" i="4"/>
  <c r="H32" i="4" s="1"/>
  <c r="I32" i="4" s="1"/>
  <c r="E32" i="4"/>
  <c r="D32" i="4"/>
  <c r="G31" i="4"/>
  <c r="H31" i="4" s="1"/>
  <c r="I31" i="4" s="1"/>
  <c r="E31" i="4"/>
  <c r="D31" i="4"/>
  <c r="G30" i="4"/>
  <c r="H30" i="4" s="1"/>
  <c r="I30" i="4" s="1"/>
  <c r="E30" i="4"/>
  <c r="D30" i="4"/>
  <c r="G29" i="4"/>
  <c r="H29" i="4" s="1"/>
  <c r="I29" i="4" s="1"/>
  <c r="E29" i="4"/>
  <c r="D29" i="4"/>
  <c r="F29" i="4" s="1"/>
  <c r="G28" i="4"/>
  <c r="H28" i="4" s="1"/>
  <c r="I28" i="4" s="1"/>
  <c r="E28" i="4"/>
  <c r="D28" i="4"/>
  <c r="G27" i="4"/>
  <c r="H27" i="4" s="1"/>
  <c r="I27" i="4" s="1"/>
  <c r="E27" i="4"/>
  <c r="D27" i="4"/>
  <c r="G26" i="4"/>
  <c r="H26" i="4" s="1"/>
  <c r="I26" i="4" s="1"/>
  <c r="E26" i="4"/>
  <c r="D26" i="4"/>
  <c r="G25" i="4"/>
  <c r="H25" i="4" s="1"/>
  <c r="I25" i="4" s="1"/>
  <c r="E25" i="4"/>
  <c r="D25" i="4"/>
  <c r="G24" i="4"/>
  <c r="H24" i="4" s="1"/>
  <c r="I24" i="4" s="1"/>
  <c r="E24" i="4"/>
  <c r="D24" i="4"/>
  <c r="G23" i="4"/>
  <c r="H23" i="4" s="1"/>
  <c r="I23" i="4" s="1"/>
  <c r="E23" i="4"/>
  <c r="D23" i="4"/>
  <c r="H17" i="4"/>
  <c r="I17" i="4" s="1"/>
  <c r="G5" i="4"/>
  <c r="H5" i="4" s="1"/>
  <c r="I5" i="4" s="1"/>
  <c r="G6" i="4"/>
  <c r="H6" i="4" s="1"/>
  <c r="I6" i="4" s="1"/>
  <c r="G7" i="4"/>
  <c r="H7" i="4" s="1"/>
  <c r="I7" i="4" s="1"/>
  <c r="G8" i="4"/>
  <c r="H8" i="4" s="1"/>
  <c r="I8" i="4" s="1"/>
  <c r="G9" i="4"/>
  <c r="H9" i="4" s="1"/>
  <c r="I9" i="4" s="1"/>
  <c r="G10" i="4"/>
  <c r="H10" i="4" s="1"/>
  <c r="I10" i="4" s="1"/>
  <c r="G11" i="4"/>
  <c r="H11" i="4" s="1"/>
  <c r="I11" i="4" s="1"/>
  <c r="G12" i="4"/>
  <c r="H12" i="4" s="1"/>
  <c r="I12" i="4" s="1"/>
  <c r="G13" i="4"/>
  <c r="H13" i="4" s="1"/>
  <c r="I13" i="4" s="1"/>
  <c r="G14" i="4"/>
  <c r="H14" i="4" s="1"/>
  <c r="I14" i="4" s="1"/>
  <c r="G15" i="4"/>
  <c r="H15" i="4" s="1"/>
  <c r="I15" i="4" s="1"/>
  <c r="G16" i="4"/>
  <c r="H16" i="4" s="1"/>
  <c r="I16" i="4" s="1"/>
  <c r="G17" i="4"/>
  <c r="G18" i="4"/>
  <c r="H18" i="4" s="1"/>
  <c r="I18" i="4" s="1"/>
  <c r="G4" i="4"/>
  <c r="H4" i="4" s="1"/>
  <c r="I4" i="4" s="1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E4" i="4"/>
  <c r="D4" i="4"/>
  <c r="G14" i="13" l="1"/>
  <c r="G13" i="13"/>
  <c r="G9" i="13"/>
  <c r="G15" i="13"/>
  <c r="G12" i="13"/>
  <c r="G7" i="13"/>
  <c r="G5" i="13"/>
  <c r="F45" i="9"/>
  <c r="F33" i="4"/>
  <c r="F18" i="4"/>
  <c r="F14" i="4"/>
  <c r="F10" i="4"/>
  <c r="F6" i="4"/>
  <c r="F28" i="4"/>
  <c r="F32" i="4"/>
  <c r="F36" i="4"/>
  <c r="F32" i="9"/>
  <c r="F24" i="4"/>
  <c r="F16" i="4"/>
  <c r="F23" i="4"/>
  <c r="F35" i="4"/>
  <c r="F31" i="4"/>
  <c r="F25" i="4"/>
  <c r="F27" i="4"/>
  <c r="F26" i="4"/>
  <c r="F30" i="4"/>
  <c r="F34" i="4"/>
  <c r="F37" i="4"/>
  <c r="F15" i="4"/>
  <c r="F4" i="4"/>
  <c r="F7" i="4"/>
  <c r="F11" i="4"/>
  <c r="F8" i="4"/>
  <c r="F17" i="4"/>
  <c r="F9" i="4"/>
  <c r="F5" i="4"/>
  <c r="F12" i="4"/>
  <c r="F13" i="4"/>
</calcChain>
</file>

<file path=xl/sharedStrings.xml><?xml version="1.0" encoding="utf-8"?>
<sst xmlns="http://schemas.openxmlformats.org/spreadsheetml/2006/main" count="359" uniqueCount="244">
  <si>
    <t>Transmitter</t>
  </si>
  <si>
    <t>3G006976</t>
  </si>
  <si>
    <t>Transmitter RC</t>
  </si>
  <si>
    <t>Receiver RC</t>
  </si>
  <si>
    <t>Flysky FS-i7</t>
  </si>
  <si>
    <t>Flysky FS-iA6B</t>
  </si>
  <si>
    <t>3G006977</t>
  </si>
  <si>
    <t>Alat</t>
  </si>
  <si>
    <t>Tipe</t>
  </si>
  <si>
    <t>No S/N</t>
  </si>
  <si>
    <t>Part</t>
  </si>
  <si>
    <t>Channel</t>
  </si>
  <si>
    <t>Joystick Left Up-Down</t>
  </si>
  <si>
    <t>Joystick Right Right-Left</t>
  </si>
  <si>
    <t>SWA</t>
  </si>
  <si>
    <t>SWB</t>
  </si>
  <si>
    <t>Receiver</t>
  </si>
  <si>
    <t>Freq (Hz)</t>
  </si>
  <si>
    <t>Duty Cycle (%)</t>
  </si>
  <si>
    <t>Based on Osciloscope</t>
  </si>
  <si>
    <t>Max</t>
  </si>
  <si>
    <t>Mid</t>
  </si>
  <si>
    <t>Min</t>
  </si>
  <si>
    <t>Positive_width (ms)</t>
  </si>
  <si>
    <t>-</t>
  </si>
  <si>
    <t>Input</t>
  </si>
  <si>
    <t>Output</t>
  </si>
  <si>
    <t>MS_2_180</t>
  </si>
  <si>
    <t>delta output</t>
  </si>
  <si>
    <t>Servo 2</t>
  </si>
  <si>
    <t>Degree</t>
  </si>
  <si>
    <t>Output (mv)</t>
  </si>
  <si>
    <t>Output (mv) after zero</t>
  </si>
  <si>
    <t>Average</t>
  </si>
  <si>
    <t>Pin Alat</t>
  </si>
  <si>
    <t>Ket</t>
  </si>
  <si>
    <t>Mode PPM bukan PWM</t>
  </si>
  <si>
    <t>GND Ch 1</t>
  </si>
  <si>
    <t>VCC Ch B/VCC</t>
  </si>
  <si>
    <t>RC Receiver FS iA6B</t>
  </si>
  <si>
    <t>GND</t>
  </si>
  <si>
    <t>GND Ch B/VCC</t>
  </si>
  <si>
    <t>Power Suplai</t>
  </si>
  <si>
    <t>+5 Volt</t>
  </si>
  <si>
    <t>Servo MG996R</t>
  </si>
  <si>
    <t>Sig PWM</t>
  </si>
  <si>
    <t>Power</t>
  </si>
  <si>
    <t>Potensio Out Servo 1</t>
  </si>
  <si>
    <t>Potensio Out Servo 2</t>
  </si>
  <si>
    <t>Pin ESP32-S3</t>
  </si>
  <si>
    <t>GND ESP32-S3 harus dikoneksikan ke semua GND power suplai lain yang digunakan</t>
  </si>
  <si>
    <t>GNSS Neo7M Ublox</t>
  </si>
  <si>
    <t>TX</t>
  </si>
  <si>
    <t>RX</t>
  </si>
  <si>
    <t>3.3V</t>
  </si>
  <si>
    <t>Di coding set sebagai serial 2</t>
  </si>
  <si>
    <t>Nama Project</t>
  </si>
  <si>
    <t>RC_PCM_to_PWM_to_Regenate_PWM</t>
  </si>
  <si>
    <t>1. Membaca sinyal PPM RC Receiver</t>
  </si>
  <si>
    <t>2. Mengekstrak nilai positif width dari Ch1 (rudder), Ch3( Prop Speed) dan Ch5 (Prop Direction)</t>
  </si>
  <si>
    <t>3. Generate PWM untuk servo berdasarkan nilai positif width Ch1 (menggunakan LEDC API)</t>
  </si>
  <si>
    <t>4. Generate PWM untuk Prop Speed berdasarkan nilai positif width Ch3 (menggunakan LEDC API)</t>
  </si>
  <si>
    <t>5. Generate PWM untuk Prop Speed berdasarkan nilai positif width Ch5 (menggunakan LEDC API)</t>
  </si>
  <si>
    <t>6. Mengakusisi data potensio output servo 1 untuk diubah menjadi nilai sudut servo 1</t>
  </si>
  <si>
    <t>7. Mengakusisi data potensio output servo 1 untuk diubah menjadi nilai sudut servo 2</t>
  </si>
  <si>
    <t>Sig PWM Speed ESC</t>
  </si>
  <si>
    <t>Sig PWM Direction ESC</t>
  </si>
  <si>
    <t>Untuk pin ESC Direction tergantung pada jenis ESC</t>
  </si>
  <si>
    <t xml:space="preserve">Jangan gunakan grup ADC2 jika akan menggunakan fitur WIFI ESP32-S3 </t>
  </si>
  <si>
    <t>Read_GPS_Ublox_Neo-7M</t>
  </si>
  <si>
    <t>Membaca GPS</t>
  </si>
  <si>
    <t>Integrate_RC_Servo_Prop_GNSS</t>
  </si>
  <si>
    <t>Integrasi project  RC_PCM_to_PWM_to_Regenate_PWM dan Read_GPS_Ublox_Neo-7M</t>
  </si>
  <si>
    <t>Di coding set sebagai serial 1</t>
  </si>
  <si>
    <t>18  (RX1)</t>
  </si>
  <si>
    <t>17 (TX1)</t>
  </si>
  <si>
    <t>16 (RX2)</t>
  </si>
  <si>
    <t>8 (ADC1_7)</t>
  </si>
  <si>
    <t>3 (ADC1_2)</t>
  </si>
  <si>
    <t>Integrate_RC_Servo_Prop_GNSS_HWT905TTL</t>
  </si>
  <si>
    <t>Read_JY901_HWT905TTL</t>
  </si>
  <si>
    <t>Membaca roll, pitch, yaw HWT905TTL</t>
  </si>
  <si>
    <t>Integrasi project  RC_PCM_to_PWM_to_Regenate_PWM, Read_GPS_Ublox_Neo-7M, dan Read_JY901_HWT905TTL</t>
  </si>
  <si>
    <t>ESP32 WROOM No 3</t>
  </si>
  <si>
    <t>ID Alat</t>
  </si>
  <si>
    <t>MAC Address</t>
  </si>
  <si>
    <t>cc:db:a7:1e:d2:20</t>
  </si>
  <si>
    <t>ESP32 WROVER Local No 1</t>
  </si>
  <si>
    <t>ac:15:18:ed:9c:e0</t>
  </si>
  <si>
    <t>15 (TX2) unused</t>
  </si>
  <si>
    <t>AHRS HWT905 TTL</t>
  </si>
  <si>
    <t>ESP32-S3 Receiver (tanpa header)</t>
  </si>
  <si>
    <t>80:b5:4e:c1:d5:ac</t>
  </si>
  <si>
    <t>tacho rpm</t>
  </si>
  <si>
    <t>Printout rpm (average)</t>
  </si>
  <si>
    <t xml:space="preserve"> </t>
  </si>
  <si>
    <t>RPM Motor 1</t>
  </si>
  <si>
    <t>RPM Motor 2</t>
  </si>
  <si>
    <t>5V dari ESC-2</t>
  </si>
  <si>
    <t>5V dari ESC-1</t>
  </si>
  <si>
    <t>Sig Ch 1/PPM</t>
  </si>
  <si>
    <t>ESP_Now_Send_RudderAngle_Propeller_GNSS_EulerAngle_EncoderRPM</t>
  </si>
  <si>
    <t>ESP_Now_Receiver_RudderAngle_Propeller_GNSS_EulerAngle_EncoderRPM</t>
  </si>
  <si>
    <t>Integrasi semua sensor dan sebagai remote transmitter ESP-NOW (sedang digunakan di ESP32-S3 remote)</t>
  </si>
  <si>
    <t>Sebagai local ESP-NOW dan mengirimkan data melalui serial port ke Laptop (sedang digunakan di ESP32-S3 local)</t>
  </si>
  <si>
    <t>Batere Monitor</t>
  </si>
  <si>
    <t xml:space="preserve">Batere ccntrol box, GNSS dan AHRS HWT </t>
  </si>
  <si>
    <t>Batere motor BLDC propeller, motor servo rudder, RPM rotary encoder &amp; Receiver RC</t>
  </si>
  <si>
    <t>Penggerak Propeller</t>
  </si>
  <si>
    <t>Peralatan</t>
  </si>
  <si>
    <t>Jumlah</t>
  </si>
  <si>
    <t>Harga Satuan (Rp)</t>
  </si>
  <si>
    <t>Harga Total (Rp)</t>
  </si>
  <si>
    <t>Link</t>
  </si>
  <si>
    <t>No</t>
  </si>
  <si>
    <t>RC Transmitter FS-i6</t>
  </si>
  <si>
    <t>RC Receiver iA6B</t>
  </si>
  <si>
    <t>Sudah ada</t>
  </si>
  <si>
    <t>Sudah ada (perlu diset ke PPM)</t>
  </si>
  <si>
    <t>ESP32-S3</t>
  </si>
  <si>
    <t>GNSS GPS Neo M7 Ublox</t>
  </si>
  <si>
    <t>AHRS HWT 905 TTL Wit Motion</t>
  </si>
  <si>
    <t xml:space="preserve">Batere Lipo 3S </t>
  </si>
  <si>
    <t>ESP32-S3 Shield</t>
  </si>
  <si>
    <t>Servo MG996R - Rudder</t>
  </si>
  <si>
    <t>Sudah ada (pelu tambahan kabel voltage output untuk mengukur sudut)</t>
  </si>
  <si>
    <t>ESC Hobby wing SkyWalker</t>
  </si>
  <si>
    <t>Motor BLDC Rocket RC</t>
  </si>
  <si>
    <t>Sudah ada.  4 Poles 3665 2200KV</t>
  </si>
  <si>
    <t>Sudah ada. 80A V2 Ubec. 3S-6S Lipo. SBEC 5V @7A</t>
  </si>
  <si>
    <t>Konektor Wago 2-2</t>
  </si>
  <si>
    <t>Konektor Wago 3-3</t>
  </si>
  <si>
    <t>XT-60 Male Panel</t>
  </si>
  <si>
    <t>Switch ON OFF 2 pin</t>
  </si>
  <si>
    <t>BNC Female</t>
  </si>
  <si>
    <t xml:space="preserve">Konektor Aviation GX12 4 pin Male Panel -Female </t>
  </si>
  <si>
    <t>BNC Male Panel</t>
  </si>
  <si>
    <t>Push button</t>
  </si>
  <si>
    <t>Voltage sensor</t>
  </si>
  <si>
    <t>Voltage regulator 5V - USB</t>
  </si>
  <si>
    <t>Voltage regulator 5V</t>
  </si>
  <si>
    <t>Kabel USB Tipe C</t>
  </si>
  <si>
    <t>Electronic Box Size 5</t>
  </si>
  <si>
    <t>Electronic Box Size 2</t>
  </si>
  <si>
    <t>Total</t>
  </si>
  <si>
    <t>Local Monitor Dashboard.py</t>
  </si>
  <si>
    <t>Akusisi data serial data (display and log) di laptop</t>
  </si>
  <si>
    <t>Rotary Encoder</t>
  </si>
  <si>
    <t>Kabel sleeve</t>
  </si>
  <si>
    <t>Teensy 4.1</t>
  </si>
  <si>
    <t>Teensy 4.1 shielding</t>
  </si>
  <si>
    <t>Untuk improvement kedepan</t>
  </si>
  <si>
    <t>https://www.tokopedia.com/beetrona/teensy-4-1-arm-cortex-m7-600mhz-development-board-arduino-soldered-header</t>
  </si>
  <si>
    <t>Microcontroller</t>
  </si>
  <si>
    <t>Breakout/Shield untuk Teensy 4.1 (home made)</t>
  </si>
  <si>
    <t>SparkFun GNSS-RTK L1/L5 Breakout - NEO-F9P (Qwiic)</t>
  </si>
  <si>
    <t>https://www.sparkfun.com/products/16481</t>
  </si>
  <si>
    <t>GNSS</t>
  </si>
  <si>
    <t>GNSS L1/L2 Multi-Band Magnetic Mount Antenna - 5m (SMA)</t>
  </si>
  <si>
    <t>Antena External untuk GNSS</t>
  </si>
  <si>
    <t>https://www.sparkfun.com/products/15192</t>
  </si>
  <si>
    <t>Note: harga belum termasuk pajak dan ongkir</t>
  </si>
  <si>
    <t>https://www.tokopedia.com/akhishop/gps-gy-ublox-neo-7m-with-antenna-1729808859979613542</t>
  </si>
  <si>
    <t>https://www.tokopedia.com/akhishop/esp32-s3-devkitc-1-n8r2-n16r8-wifi-bluetooth-dev-board-1731749591138010470</t>
  </si>
  <si>
    <t>https://www.tokopedia.com/akhishop/photoelectric-rotary-encoder-with-plate</t>
  </si>
  <si>
    <t>Photo electric encoder with plate</t>
  </si>
  <si>
    <t>https://www.tokopedia.com/hwthinker/terminal-screw-block-shield-expansion-board-44pin-for-esp32s3-esp32-s3-devkitc-1-terminal-screw-2196e</t>
  </si>
  <si>
    <t>Breakaout/Shield untuk teensy</t>
  </si>
  <si>
    <t>https://www.tokopedia.com/eltech-online/4-4p-p-pin-12mm-panel-male-to-cable-female-aviation-konektor-pesawat</t>
  </si>
  <si>
    <t>Konektor 4 pin 12 mm</t>
  </si>
  <si>
    <t>https://www.tokopedia.com/akhishop/voltage-sensor-dc-voltage-divider-1729798292921353574</t>
  </si>
  <si>
    <t>https://www.tokopedia.com/akhishop/dc-dc-mini560-5a-dc-stepdown-regulated-power-supply-module-5v</t>
  </si>
  <si>
    <t>https://www.tokopedia.com/aifrobotic/super-step-down-xy-3606-dc-dc-buck-converter-module-9-36v-to-5v-5a</t>
  </si>
  <si>
    <t>panjang: 25 cm</t>
  </si>
  <si>
    <t>https://www.tokopedia.com/hwthinker/kabel-data-usb-type-c-typec-pendek-25-cm</t>
  </si>
  <si>
    <t>https://www.tokopedia.com/archive-omlemon/box-x2-plastik</t>
  </si>
  <si>
    <t>Box X2 Plastik</t>
  </si>
  <si>
    <t>Electronic Box Size 1</t>
  </si>
  <si>
    <t>https://www.tokopedia.com/archive-omlemon/box-x1-hitam-box-ampli-amplifier-audio-tanpa-lubang-1731068235225532283</t>
  </si>
  <si>
    <t>Box X1 Plastik</t>
  </si>
  <si>
    <t>Box X5 Plastik</t>
  </si>
  <si>
    <t>https://www.tokopedia.com/archive-omlemon/a290-box-x5-bok-audio-hitam-plastik-ampli?</t>
  </si>
  <si>
    <t>https://www.tokopedia.com/buayaaerotech/500mw-915mhz-3dr-radio-telemetry-air-ground-module-for-mwc-apm-pixhawk</t>
  </si>
  <si>
    <t>500mW 915MHz 3DR Radio Telemetry Air/Ground Module</t>
  </si>
  <si>
    <t>Radio telemetry</t>
  </si>
  <si>
    <t>Sensor tegangan batere</t>
  </si>
  <si>
    <t>Voltage regulator step down to 5V untuk sensor</t>
  </si>
  <si>
    <t>Voltage regulator step down to 5V untuk microcontroller ESP32-S3</t>
  </si>
  <si>
    <t>SWITCH PUSH BUTTON SAKLAR ON 2 PIN BULAT 3A 125V 1.5A 250V DS-427 - HITAM</t>
  </si>
  <si>
    <t>https://www.tokopedia.com/archive-omlemon/switch-push-button-saklar-on-2-pin-bulat-3a-125v-1-5a-250v-ds-427-1729570390528853159</t>
  </si>
  <si>
    <t>https://www.tokopedia.com/innovtronic/panel-mount-bnc-socket?</t>
  </si>
  <si>
    <t>Panel mount BNC Socket</t>
  </si>
  <si>
    <t>https://www.tokopedia.com/innovtronic/jack-bnc-buntut-ver-besi-silver-1730750981881889940</t>
  </si>
  <si>
    <t>Jack BNC female</t>
  </si>
  <si>
    <t>https://www.tokopedia.com/eltech-online/rocker-power-switch-kcd-2pin-3pin-4pin-2way-3way-spst-spdt-dpdt-tombol-saklar-roker-on-off-square-round-mini-slim-kecil-kotak-bulat-oval-lonjong-gepeng-black-hitam-lampu-lamp-light-led-red-green-merah-hijau-2p-3p-4p-2-3-4-pin-kaki-arah-way-posisi-position-1732639109233476842?</t>
  </si>
  <si>
    <t>2P KCD 102</t>
  </si>
  <si>
    <t>XT60E M Male Amass Connector</t>
  </si>
  <si>
    <t>https://www.tokopedia.com/nasrula/xt60e-m-male-amass-connector-1731299363453765307</t>
  </si>
  <si>
    <t>XT-60 Female-Male</t>
  </si>
  <si>
    <t>Pasangan satu set male-female</t>
  </si>
  <si>
    <t>https://www.tokopedia.com/nasrula/xt60-lipo-battery-connector?</t>
  </si>
  <si>
    <t>KONEKTOR WAGO PARALEL BLOK CONNECTOR BLOCK - 2 LINE</t>
  </si>
  <si>
    <t>KONEKTOR WAGO PARALEL BLOK CONNECTOR BLOCK - 3 LINE</t>
  </si>
  <si>
    <t>https://www.tokopedia.com/archive-omlemon/konektor-wago-paralel-blok-connector-block-1729568380092187815</t>
  </si>
  <si>
    <t>https://www.tokopedia.com/archive-omlemon/konektor-wago-paralel-blok-connector-block-1729568380092253351</t>
  </si>
  <si>
    <t>PEMBUNGKUS KABEL/kabel sleeve 2 meter</t>
  </si>
  <si>
    <t>https://www.tokopedia.com/archive-omlemon/pelindung-kabel-sleeve-per-1-meter-pembungkus-kabel-braided-wire-cable-1732723500185519271</t>
  </si>
  <si>
    <t>https://www.tokopedia.com/hexhobby/witmotion-military-grade-inclinometer-hwt905-high-precision-inclinometer-industria-grade-accelerometer-digital-compass-gyro-with-temperature-magnetometer-compensation-hwt905-ttl-0215a?</t>
  </si>
  <si>
    <t>AHRS sensor roll pitch yaw</t>
  </si>
  <si>
    <t>MicroSD Card</t>
  </si>
  <si>
    <t>Sandisk Microsd 32GB Ultra 120mb/s Micro SD SDXC Card A1 UHS-1</t>
  </si>
  <si>
    <t>https://www.tokopedia.com/suryaecomm/sandisk-microsd-32gb-ultra-120mb-s-micro-sd-sdxc-card-a1-uhs-1</t>
  </si>
  <si>
    <t>Remote Control Receiver - Transmitter minimal 8 Channel</t>
  </si>
  <si>
    <t>https://www.tokopedia.com/grosirdompetmotifte/new-microzone-mc8b-mini-2-4g-8ch-remote-controller-transmitter-radio-mc8re-v2-receiver-for-fpv-rc-fixed-wing-drone-car-boat-1731915813345068541</t>
  </si>
  <si>
    <t>rudder 2</t>
  </si>
  <si>
    <t>setpoint</t>
  </si>
  <si>
    <t>terukur</t>
  </si>
  <si>
    <t>terukur- zero</t>
  </si>
  <si>
    <t>error</t>
  </si>
  <si>
    <t>zero</t>
  </si>
  <si>
    <t xml:space="preserve">full </t>
  </si>
  <si>
    <t>turn</t>
  </si>
  <si>
    <t>zigzag</t>
  </si>
  <si>
    <t>rudder 1</t>
  </si>
  <si>
    <t>self.correction_deg_servo_1 = -1.643</t>
  </si>
  <si>
    <t>self.correction_deg_servo_2 = -1.436</t>
  </si>
  <si>
    <t>Remote Control Receiver - Transmitter (opsi 1)</t>
  </si>
  <si>
    <t>Remote Control Receiver - Transmitter (opsi 2)</t>
  </si>
  <si>
    <t>Radiolink AT10 Ii 2.4 GHz 10 Ch Transmitter &amp; R12Ds Receiver</t>
  </si>
  <si>
    <t>Chandra</t>
  </si>
  <si>
    <t>Tanggal</t>
  </si>
  <si>
    <t>Jam</t>
  </si>
  <si>
    <t>https://www.tokopedia.com/mitra-abadi-official/step-down-12a-1-25-30v-buck-converter-penurun-tegangan?</t>
  </si>
  <si>
    <t>Step DOWN 12A 1,25-30V Buck Converter Penurun Tegangan</t>
  </si>
  <si>
    <t>Step Down DC to DC</t>
  </si>
  <si>
    <t>SetPoint</t>
  </si>
  <si>
    <t>Ukur 1</t>
  </si>
  <si>
    <t>Ukur 2</t>
  </si>
  <si>
    <t>Ukur 1 (After Zero)</t>
  </si>
  <si>
    <t>Ukur 2 (After Zero)</t>
  </si>
  <si>
    <t>Slope</t>
  </si>
  <si>
    <t>intercept</t>
  </si>
  <si>
    <t>ESP32-S3 Sender</t>
  </si>
  <si>
    <t>98:a3:16:f5:01:a0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</si>
</sst>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3" fillId="0" borderId="0" xfId="1" applyBorder="1" applyAlignment="1">
      <alignment horizontal="center"/>
    </xf>
    <xf numFmtId="0" fontId="3" fillId="0" borderId="1" xfId="1" applyBorder="1" applyAlignment="1">
      <alignment horizont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Servo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'Kalibrasi servo rudder'!$G$4:$G$18</c:f>
              <c:numCache>
                <c:formatCode>0</c:formatCode>
                <c:ptCount val="15"/>
                <c:pt idx="0">
                  <c:v>2244.28125</c:v>
                </c:pt>
                <c:pt idx="1">
                  <c:v>2169.5007850000002</c:v>
                </c:pt>
                <c:pt idx="2">
                  <c:v>2086.321375</c:v>
                </c:pt>
                <c:pt idx="3">
                  <c:v>2001.309555</c:v>
                </c:pt>
                <c:pt idx="4">
                  <c:v>1919.3267099999998</c:v>
                </c:pt>
                <c:pt idx="5">
                  <c:v>1834.8922400000001</c:v>
                </c:pt>
                <c:pt idx="6">
                  <c:v>1750.67551</c:v>
                </c:pt>
                <c:pt idx="7">
                  <c:v>1661.120635</c:v>
                </c:pt>
                <c:pt idx="8">
                  <c:v>1580.55844</c:v>
                </c:pt>
                <c:pt idx="9">
                  <c:v>1496.0125</c:v>
                </c:pt>
                <c:pt idx="10">
                  <c:v>1408.4356600000001</c:v>
                </c:pt>
                <c:pt idx="11">
                  <c:v>1325.74722</c:v>
                </c:pt>
                <c:pt idx="12">
                  <c:v>1236.241585</c:v>
                </c:pt>
                <c:pt idx="13">
                  <c:v>1156.2441100000001</c:v>
                </c:pt>
                <c:pt idx="14">
                  <c:v>1079.3731299999999</c:v>
                </c:pt>
              </c:numCache>
            </c:numRef>
          </c:xVal>
          <c:yVal>
            <c:numRef>
              <c:f>'Kalibrasi servo rudder'!$A$4:$A$18</c:f>
              <c:numCache>
                <c:formatCode>General</c:formatCode>
                <c:ptCount val="15"/>
                <c:pt idx="0">
                  <c:v>35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  <c:pt idx="6">
                  <c:v>5</c:v>
                </c:pt>
                <c:pt idx="7">
                  <c:v>0</c:v>
                </c:pt>
                <c:pt idx="8">
                  <c:v>-5</c:v>
                </c:pt>
                <c:pt idx="9">
                  <c:v>-10</c:v>
                </c:pt>
                <c:pt idx="10">
                  <c:v>-15</c:v>
                </c:pt>
                <c:pt idx="11">
                  <c:v>-20</c:v>
                </c:pt>
                <c:pt idx="12">
                  <c:v>-25</c:v>
                </c:pt>
                <c:pt idx="13">
                  <c:v>-30</c:v>
                </c:pt>
                <c:pt idx="14">
                  <c:v>-35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A7-4ACD-B0D9-72820672C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051568"/>
        <c:axId val="1654047248"/>
      </c:scatterChart>
      <c:valAx>
        <c:axId val="1654051568"/>
        <c:scaling>
          <c:orientation val="minMax"/>
          <c:max val="2300"/>
          <c:min val="100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47248"/>
        <c:crosses val="autoZero"/>
        <c:crossBetween val="midCat"/>
      </c:valAx>
      <c:valAx>
        <c:axId val="165404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5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Servo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'Kalibrasi servo rudder'!$G$23:$G$37</c:f>
              <c:numCache>
                <c:formatCode>0</c:formatCode>
                <c:ptCount val="15"/>
                <c:pt idx="0">
                  <c:v>2246</c:v>
                </c:pt>
                <c:pt idx="1">
                  <c:v>2165.9013400000003</c:v>
                </c:pt>
                <c:pt idx="2">
                  <c:v>2082.7267849999998</c:v>
                </c:pt>
                <c:pt idx="3">
                  <c:v>2000.2619999999999</c:v>
                </c:pt>
                <c:pt idx="4">
                  <c:v>1915.7517849999999</c:v>
                </c:pt>
                <c:pt idx="5">
                  <c:v>1835.842075</c:v>
                </c:pt>
                <c:pt idx="6">
                  <c:v>1749.5645649999999</c:v>
                </c:pt>
                <c:pt idx="7">
                  <c:v>1662.7030399999999</c:v>
                </c:pt>
                <c:pt idx="8">
                  <c:v>1580.510675</c:v>
                </c:pt>
                <c:pt idx="9">
                  <c:v>1491.8094449999999</c:v>
                </c:pt>
                <c:pt idx="10">
                  <c:v>1410.15543</c:v>
                </c:pt>
                <c:pt idx="11">
                  <c:v>1327.449325</c:v>
                </c:pt>
                <c:pt idx="12">
                  <c:v>1238.9448199999999</c:v>
                </c:pt>
                <c:pt idx="13">
                  <c:v>1154.4607100000001</c:v>
                </c:pt>
                <c:pt idx="14">
                  <c:v>1075.6285700000001</c:v>
                </c:pt>
              </c:numCache>
            </c:numRef>
          </c:xVal>
          <c:yVal>
            <c:numRef>
              <c:f>'Kalibrasi servo rudder'!$A$23:$A$37</c:f>
              <c:numCache>
                <c:formatCode>General</c:formatCode>
                <c:ptCount val="15"/>
                <c:pt idx="0">
                  <c:v>35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  <c:pt idx="6">
                  <c:v>5</c:v>
                </c:pt>
                <c:pt idx="7">
                  <c:v>0</c:v>
                </c:pt>
                <c:pt idx="8">
                  <c:v>-5</c:v>
                </c:pt>
                <c:pt idx="9">
                  <c:v>-10</c:v>
                </c:pt>
                <c:pt idx="10">
                  <c:v>-15</c:v>
                </c:pt>
                <c:pt idx="11">
                  <c:v>-20</c:v>
                </c:pt>
                <c:pt idx="12">
                  <c:v>-25</c:v>
                </c:pt>
                <c:pt idx="13">
                  <c:v>-30</c:v>
                </c:pt>
                <c:pt idx="14">
                  <c:v>-35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91-49E2-8529-EF0F7F37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051568"/>
        <c:axId val="1654047248"/>
      </c:scatterChart>
      <c:valAx>
        <c:axId val="1654051568"/>
        <c:scaling>
          <c:orientation val="minMax"/>
          <c:max val="2300"/>
          <c:min val="100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47248"/>
        <c:crosses val="autoZero"/>
        <c:crossBetween val="midCat"/>
      </c:valAx>
      <c:valAx>
        <c:axId val="165404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5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'Validasi Servo Rudder 1'!$G$3:$G$17</c:f>
              <c:numCache>
                <c:formatCode>0.00</c:formatCode>
                <c:ptCount val="15"/>
                <c:pt idx="0">
                  <c:v>33.982765467217</c:v>
                </c:pt>
                <c:pt idx="1">
                  <c:v>29.477522930016999</c:v>
                </c:pt>
                <c:pt idx="2">
                  <c:v>24.780078177017</c:v>
                </c:pt>
                <c:pt idx="3">
                  <c:v>19.791604125817003</c:v>
                </c:pt>
                <c:pt idx="4">
                  <c:v>14.750156748017</c:v>
                </c:pt>
                <c:pt idx="5">
                  <c:v>9.8832550706769986</c:v>
                </c:pt>
                <c:pt idx="6">
                  <c:v>4.7461873494019997</c:v>
                </c:pt>
                <c:pt idx="7">
                  <c:v>0.1087714267488</c:v>
                </c:pt>
                <c:pt idx="8">
                  <c:v>-5.106532537783</c:v>
                </c:pt>
                <c:pt idx="9">
                  <c:v>-10.196947926703</c:v>
                </c:pt>
                <c:pt idx="10">
                  <c:v>-15.042069832533</c:v>
                </c:pt>
                <c:pt idx="11">
                  <c:v>-20.020199495783</c:v>
                </c:pt>
                <c:pt idx="12">
                  <c:v>-25.261155082382999</c:v>
                </c:pt>
                <c:pt idx="13">
                  <c:v>-30.078833128333002</c:v>
                </c:pt>
                <c:pt idx="14">
                  <c:v>-34.536425140282994</c:v>
                </c:pt>
              </c:numCache>
            </c:numRef>
          </c:xVal>
          <c:yVal>
            <c:numRef>
              <c:f>'Validasi Servo Rudder 1'!$B$3:$B$17</c:f>
              <c:numCache>
                <c:formatCode>General</c:formatCode>
                <c:ptCount val="15"/>
                <c:pt idx="0">
                  <c:v>35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  <c:pt idx="6">
                  <c:v>5</c:v>
                </c:pt>
                <c:pt idx="7">
                  <c:v>0</c:v>
                </c:pt>
                <c:pt idx="8">
                  <c:v>-5</c:v>
                </c:pt>
                <c:pt idx="9">
                  <c:v>-10</c:v>
                </c:pt>
                <c:pt idx="10">
                  <c:v>-15</c:v>
                </c:pt>
                <c:pt idx="11">
                  <c:v>-20</c:v>
                </c:pt>
                <c:pt idx="12">
                  <c:v>-25</c:v>
                </c:pt>
                <c:pt idx="13">
                  <c:v>-30</c:v>
                </c:pt>
                <c:pt idx="14">
                  <c:v>-35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5B-452E-A7DF-0BA0EEE43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023647"/>
        <c:axId val="1733034687"/>
      </c:scatterChart>
      <c:valAx>
        <c:axId val="173302364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34687"/>
        <c:crosses val="autoZero"/>
        <c:crossBetween val="midCat"/>
      </c:valAx>
      <c:valAx>
        <c:axId val="173303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2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rudder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[1]Sheet1!$E$3:$E$4</c:f>
              <c:strCache>
                <c:ptCount val="1"/>
                <c:pt idx="0">
                  <c:v>terukur- zero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[1]Sheet1!$E$4:$E$10</c:f>
              <c:numCache>
                <c:formatCode>General</c:formatCode>
                <c:ptCount val="7"/>
                <c:pt idx="0">
                  <c:v>0</c:v>
                </c:pt>
                <c:pt idx="1">
                  <c:v>39.407846573390003</c:v>
                </c:pt>
                <c:pt idx="2">
                  <c:v>-40.357708490509999</c:v>
                </c:pt>
                <c:pt idx="3">
                  <c:v>34.530518904590004</c:v>
                </c:pt>
                <c:pt idx="4">
                  <c:v>-35.315824220309999</c:v>
                </c:pt>
                <c:pt idx="5">
                  <c:v>-19.813774914610001</c:v>
                </c:pt>
                <c:pt idx="6">
                  <c:v>-9.66666666331</c:v>
                </c:pt>
              </c:numCache>
            </c:numRef>
          </c:xVal>
          <c:yVal>
            <c:numRef>
              <c:f>[1]Sheet1!$C$4:$C$10</c:f>
              <c:numCache>
                <c:formatCode>General</c:formatCode>
                <c:ptCount val="7"/>
                <c:pt idx="0">
                  <c:v>0</c:v>
                </c:pt>
                <c:pt idx="1">
                  <c:v>40</c:v>
                </c:pt>
                <c:pt idx="2">
                  <c:v>-40</c:v>
                </c:pt>
                <c:pt idx="3">
                  <c:v>35</c:v>
                </c:pt>
                <c:pt idx="4">
                  <c:v>-35</c:v>
                </c:pt>
                <c:pt idx="5">
                  <c:v>-20</c:v>
                </c:pt>
                <c:pt idx="6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CA-4806-835B-E2DCFA66B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162848"/>
        <c:axId val="446163928"/>
      </c:scatterChart>
      <c:valAx>
        <c:axId val="44616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46163928"/>
        <c:crosses val="autoZero"/>
        <c:crossBetween val="midCat"/>
      </c:valAx>
      <c:valAx>
        <c:axId val="44616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46162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rudder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[1]Sheet1!$E$3:$E$4</c:f>
              <c:strCache>
                <c:ptCount val="1"/>
                <c:pt idx="0">
                  <c:v>terukur- zero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645013123359579E-2"/>
                  <c:y val="-4.20833333333333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[1]Sheet1!$E$15:$E$21</c:f>
              <c:numCache>
                <c:formatCode>General</c:formatCode>
                <c:ptCount val="7"/>
                <c:pt idx="0">
                  <c:v>0</c:v>
                </c:pt>
                <c:pt idx="1">
                  <c:v>40.193108929299996</c:v>
                </c:pt>
                <c:pt idx="2">
                  <c:v>-39.886008565200001</c:v>
                </c:pt>
                <c:pt idx="3">
                  <c:v>35.233673655299995</c:v>
                </c:pt>
                <c:pt idx="4">
                  <c:v>-34.641291144100002</c:v>
                </c:pt>
                <c:pt idx="5">
                  <c:v>-19.683492138999998</c:v>
                </c:pt>
                <c:pt idx="6">
                  <c:v>-9.3602242409999992</c:v>
                </c:pt>
              </c:numCache>
            </c:numRef>
          </c:xVal>
          <c:yVal>
            <c:numRef>
              <c:f>[1]Sheet1!$C$15:$C$21</c:f>
              <c:numCache>
                <c:formatCode>General</c:formatCode>
                <c:ptCount val="7"/>
                <c:pt idx="0">
                  <c:v>0</c:v>
                </c:pt>
                <c:pt idx="1">
                  <c:v>40</c:v>
                </c:pt>
                <c:pt idx="2">
                  <c:v>-40</c:v>
                </c:pt>
                <c:pt idx="3">
                  <c:v>35</c:v>
                </c:pt>
                <c:pt idx="4">
                  <c:v>-35</c:v>
                </c:pt>
                <c:pt idx="5">
                  <c:v>-20</c:v>
                </c:pt>
                <c:pt idx="6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C0-40B4-9F5C-BAFED8893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162848"/>
        <c:axId val="446163928"/>
      </c:scatterChart>
      <c:valAx>
        <c:axId val="44616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46163928"/>
        <c:crosses val="autoZero"/>
        <c:crossBetween val="midCat"/>
      </c:valAx>
      <c:valAx>
        <c:axId val="44616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46162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4388232720909891E-2"/>
                  <c:y val="-0.429776538349373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'Rudder (unused)'!$E$4:$E$20</c:f>
              <c:numCache>
                <c:formatCode>General</c:formatCode>
                <c:ptCount val="17"/>
                <c:pt idx="0">
                  <c:v>-40</c:v>
                </c:pt>
                <c:pt idx="1">
                  <c:v>-35</c:v>
                </c:pt>
                <c:pt idx="2">
                  <c:v>-30</c:v>
                </c:pt>
                <c:pt idx="3">
                  <c:v>-25</c:v>
                </c:pt>
                <c:pt idx="4">
                  <c:v>-20</c:v>
                </c:pt>
                <c:pt idx="5">
                  <c:v>-15</c:v>
                </c:pt>
                <c:pt idx="6">
                  <c:v>-10</c:v>
                </c:pt>
                <c:pt idx="7">
                  <c:v>-5</c:v>
                </c:pt>
                <c:pt idx="8">
                  <c:v>0</c:v>
                </c:pt>
                <c:pt idx="9">
                  <c:v>5</c:v>
                </c:pt>
                <c:pt idx="10">
                  <c:v>10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</c:numCache>
            </c:numRef>
          </c:xVal>
          <c:yVal>
            <c:numRef>
              <c:f>'Rudder (unused)'!$C$4:$C$20</c:f>
              <c:numCache>
                <c:formatCode>General</c:formatCode>
                <c:ptCount val="17"/>
                <c:pt idx="0">
                  <c:v>170</c:v>
                </c:pt>
                <c:pt idx="1">
                  <c:v>160</c:v>
                </c:pt>
                <c:pt idx="2">
                  <c:v>150</c:v>
                </c:pt>
                <c:pt idx="3">
                  <c:v>140</c:v>
                </c:pt>
                <c:pt idx="4">
                  <c:v>130</c:v>
                </c:pt>
                <c:pt idx="5">
                  <c:v>120</c:v>
                </c:pt>
                <c:pt idx="6">
                  <c:v>110</c:v>
                </c:pt>
                <c:pt idx="7">
                  <c:v>100</c:v>
                </c:pt>
                <c:pt idx="8">
                  <c:v>90</c:v>
                </c:pt>
                <c:pt idx="9">
                  <c:v>80</c:v>
                </c:pt>
                <c:pt idx="10">
                  <c:v>70</c:v>
                </c:pt>
                <c:pt idx="11">
                  <c:v>60</c:v>
                </c:pt>
                <c:pt idx="12">
                  <c:v>50</c:v>
                </c:pt>
                <c:pt idx="13">
                  <c:v>40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83-4677-B5E0-BF1F66622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09616"/>
        <c:axId val="1482205584"/>
      </c:scatterChart>
      <c:valAx>
        <c:axId val="145370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05584"/>
        <c:crosses val="autoZero"/>
        <c:crossBetween val="midCat"/>
      </c:valAx>
      <c:valAx>
        <c:axId val="148220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0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4388232720909891E-2"/>
                  <c:y val="-0.429776538349373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'Rudder (unused)'!$E$4:$E$20</c:f>
              <c:numCache>
                <c:formatCode>General</c:formatCode>
                <c:ptCount val="17"/>
                <c:pt idx="0">
                  <c:v>-40</c:v>
                </c:pt>
                <c:pt idx="1">
                  <c:v>-35</c:v>
                </c:pt>
                <c:pt idx="2">
                  <c:v>-30</c:v>
                </c:pt>
                <c:pt idx="3">
                  <c:v>-25</c:v>
                </c:pt>
                <c:pt idx="4">
                  <c:v>-20</c:v>
                </c:pt>
                <c:pt idx="5">
                  <c:v>-15</c:v>
                </c:pt>
                <c:pt idx="6">
                  <c:v>-10</c:v>
                </c:pt>
                <c:pt idx="7">
                  <c:v>-5</c:v>
                </c:pt>
                <c:pt idx="8">
                  <c:v>0</c:v>
                </c:pt>
                <c:pt idx="9">
                  <c:v>5</c:v>
                </c:pt>
                <c:pt idx="10">
                  <c:v>10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</c:numCache>
            </c:numRef>
          </c:xVal>
          <c:yVal>
            <c:numRef>
              <c:f>'Rudder (unused)'!$C$4:$C$20</c:f>
              <c:numCache>
                <c:formatCode>General</c:formatCode>
                <c:ptCount val="17"/>
                <c:pt idx="0">
                  <c:v>170</c:v>
                </c:pt>
                <c:pt idx="1">
                  <c:v>160</c:v>
                </c:pt>
                <c:pt idx="2">
                  <c:v>150</c:v>
                </c:pt>
                <c:pt idx="3">
                  <c:v>140</c:v>
                </c:pt>
                <c:pt idx="4">
                  <c:v>130</c:v>
                </c:pt>
                <c:pt idx="5">
                  <c:v>120</c:v>
                </c:pt>
                <c:pt idx="6">
                  <c:v>110</c:v>
                </c:pt>
                <c:pt idx="7">
                  <c:v>100</c:v>
                </c:pt>
                <c:pt idx="8">
                  <c:v>90</c:v>
                </c:pt>
                <c:pt idx="9">
                  <c:v>80</c:v>
                </c:pt>
                <c:pt idx="10">
                  <c:v>70</c:v>
                </c:pt>
                <c:pt idx="11">
                  <c:v>60</c:v>
                </c:pt>
                <c:pt idx="12">
                  <c:v>50</c:v>
                </c:pt>
                <c:pt idx="13">
                  <c:v>40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4B-462B-9135-53DAB166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09616"/>
        <c:axId val="1482205584"/>
      </c:scatterChart>
      <c:valAx>
        <c:axId val="145370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05584"/>
        <c:crosses val="autoZero"/>
        <c:crossBetween val="midCat"/>
      </c:valAx>
      <c:valAx>
        <c:axId val="148220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0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4</xdr:row>
      <xdr:rowOff>53340</xdr:rowOff>
    </xdr:from>
    <xdr:to>
      <xdr:col>3</xdr:col>
      <xdr:colOff>472440</xdr:colOff>
      <xdr:row>9</xdr:row>
      <xdr:rowOff>144780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A895E8E1-16CA-976C-3C81-CF23CF2E4E8E}"/>
            </a:ext>
          </a:extLst>
        </xdr:cNvPr>
        <xdr:cNvGrpSpPr/>
      </xdr:nvGrpSpPr>
      <xdr:grpSpPr>
        <a:xfrm>
          <a:off x="419100" y="770516"/>
          <a:ext cx="1882140" cy="987911"/>
          <a:chOff x="533400" y="144780"/>
          <a:chExt cx="1882140" cy="1005840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F681BD3-89B1-E3C5-09C1-AE8D15CB233F}"/>
              </a:ext>
            </a:extLst>
          </xdr:cNvPr>
          <xdr:cNvGrpSpPr/>
        </xdr:nvGrpSpPr>
        <xdr:grpSpPr>
          <a:xfrm>
            <a:off x="693420" y="617220"/>
            <a:ext cx="541020" cy="533400"/>
            <a:chOff x="952500" y="274320"/>
            <a:chExt cx="541020" cy="533400"/>
          </a:xfrm>
        </xdr:grpSpPr>
        <xdr:sp macro="" textlink="">
          <xdr:nvSpPr>
            <xdr:cNvPr id="2" name="Oval 1">
              <a:extLst>
                <a:ext uri="{FF2B5EF4-FFF2-40B4-BE49-F238E27FC236}">
                  <a16:creationId xmlns:a16="http://schemas.microsoft.com/office/drawing/2014/main" id="{1EA3FB82-043D-0F09-8DA2-41E260CED628}"/>
                </a:ext>
              </a:extLst>
            </xdr:cNvPr>
            <xdr:cNvSpPr/>
          </xdr:nvSpPr>
          <xdr:spPr>
            <a:xfrm>
              <a:off x="952500" y="274320"/>
              <a:ext cx="541020" cy="533400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" name="Oval 2">
              <a:extLst>
                <a:ext uri="{FF2B5EF4-FFF2-40B4-BE49-F238E27FC236}">
                  <a16:creationId xmlns:a16="http://schemas.microsoft.com/office/drawing/2014/main" id="{9408B09F-9659-4218-8DAC-A1EDEEAB6680}"/>
                </a:ext>
              </a:extLst>
            </xdr:cNvPr>
            <xdr:cNvSpPr/>
          </xdr:nvSpPr>
          <xdr:spPr>
            <a:xfrm>
              <a:off x="1070860" y="403860"/>
              <a:ext cx="289060" cy="259080"/>
            </a:xfrm>
            <a:prstGeom prst="ellips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FCB5A09-880F-E619-6931-C22EA02C74CA}"/>
              </a:ext>
            </a:extLst>
          </xdr:cNvPr>
          <xdr:cNvSpPr txBox="1"/>
        </xdr:nvSpPr>
        <xdr:spPr>
          <a:xfrm>
            <a:off x="533400" y="144780"/>
            <a:ext cx="937260" cy="4419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Motor Batt Volt</a:t>
            </a:r>
          </a:p>
        </xdr:txBody>
      </xdr: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58F30325-A06D-4A39-1265-E47B87353EF4}"/>
              </a:ext>
            </a:extLst>
          </xdr:cNvPr>
          <xdr:cNvCxnSpPr>
            <a:stCxn id="3" idx="7"/>
          </xdr:cNvCxnSpPr>
        </xdr:nvCxnSpPr>
        <xdr:spPr>
          <a:xfrm flipV="1">
            <a:off x="1058508" y="655320"/>
            <a:ext cx="663612" cy="129381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743748C1-7428-25BA-46BF-999B17EC60DD}"/>
              </a:ext>
            </a:extLst>
          </xdr:cNvPr>
          <xdr:cNvCxnSpPr>
            <a:stCxn id="2" idx="5"/>
          </xdr:cNvCxnSpPr>
        </xdr:nvCxnSpPr>
        <xdr:spPr>
          <a:xfrm flipV="1">
            <a:off x="1155209" y="952500"/>
            <a:ext cx="574531" cy="120005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ED3C7FD5-9F62-4893-BCFD-19850A75A490}"/>
              </a:ext>
            </a:extLst>
          </xdr:cNvPr>
          <xdr:cNvSpPr txBox="1"/>
        </xdr:nvSpPr>
        <xdr:spPr>
          <a:xfrm>
            <a:off x="1813560" y="502920"/>
            <a:ext cx="601980" cy="2590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GPIO 2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2B53DA9-88B8-4D13-94B9-7E8AE7CC1110}"/>
              </a:ext>
            </a:extLst>
          </xdr:cNvPr>
          <xdr:cNvSpPr txBox="1"/>
        </xdr:nvSpPr>
        <xdr:spPr>
          <a:xfrm>
            <a:off x="1798320" y="830580"/>
            <a:ext cx="601980" cy="2590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GND</a:t>
            </a:r>
          </a:p>
        </xdr:txBody>
      </xdr:sp>
    </xdr:grpSp>
    <xdr:clientData/>
  </xdr:twoCellAnchor>
  <xdr:twoCellAnchor>
    <xdr:from>
      <xdr:col>4</xdr:col>
      <xdr:colOff>152400</xdr:colOff>
      <xdr:row>4</xdr:row>
      <xdr:rowOff>17930</xdr:rowOff>
    </xdr:from>
    <xdr:to>
      <xdr:col>7</xdr:col>
      <xdr:colOff>205740</xdr:colOff>
      <xdr:row>10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212605B-BB86-4742-BD80-4E31FEB23E89}"/>
            </a:ext>
          </a:extLst>
        </xdr:cNvPr>
        <xdr:cNvGrpSpPr/>
      </xdr:nvGrpSpPr>
      <xdr:grpSpPr>
        <a:xfrm>
          <a:off x="2590800" y="735106"/>
          <a:ext cx="1882140" cy="1057835"/>
          <a:chOff x="533400" y="69663"/>
          <a:chExt cx="1882140" cy="1080957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4FF33357-0861-7761-12E7-6DB6DC858294}"/>
              </a:ext>
            </a:extLst>
          </xdr:cNvPr>
          <xdr:cNvGrpSpPr/>
        </xdr:nvGrpSpPr>
        <xdr:grpSpPr>
          <a:xfrm>
            <a:off x="693420" y="617220"/>
            <a:ext cx="541020" cy="533400"/>
            <a:chOff x="952500" y="274320"/>
            <a:chExt cx="541020" cy="533400"/>
          </a:xfrm>
        </xdr:grpSpPr>
        <xdr:sp macro="" textlink="">
          <xdr:nvSpPr>
            <xdr:cNvPr id="21" name="Oval 20">
              <a:extLst>
                <a:ext uri="{FF2B5EF4-FFF2-40B4-BE49-F238E27FC236}">
                  <a16:creationId xmlns:a16="http://schemas.microsoft.com/office/drawing/2014/main" id="{0466CF19-B061-B07F-290F-37B3ED35F373}"/>
                </a:ext>
              </a:extLst>
            </xdr:cNvPr>
            <xdr:cNvSpPr/>
          </xdr:nvSpPr>
          <xdr:spPr>
            <a:xfrm>
              <a:off x="952500" y="274320"/>
              <a:ext cx="541020" cy="533400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Oval 21">
              <a:extLst>
                <a:ext uri="{FF2B5EF4-FFF2-40B4-BE49-F238E27FC236}">
                  <a16:creationId xmlns:a16="http://schemas.microsoft.com/office/drawing/2014/main" id="{04597D46-0B7C-E333-E06D-7F1ECD01B50D}"/>
                </a:ext>
              </a:extLst>
            </xdr:cNvPr>
            <xdr:cNvSpPr/>
          </xdr:nvSpPr>
          <xdr:spPr>
            <a:xfrm>
              <a:off x="1070860" y="403860"/>
              <a:ext cx="289060" cy="259080"/>
            </a:xfrm>
            <a:prstGeom prst="ellips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6F456BBC-DD24-63B4-1130-0A582BE12764}"/>
              </a:ext>
            </a:extLst>
          </xdr:cNvPr>
          <xdr:cNvSpPr txBox="1"/>
        </xdr:nvSpPr>
        <xdr:spPr>
          <a:xfrm>
            <a:off x="533400" y="69663"/>
            <a:ext cx="937260" cy="51707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PCM RC Receiver</a:t>
            </a:r>
          </a:p>
        </xdr:txBody>
      </xdr: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9A221093-0E01-7A2F-FDDB-2A6D7BA21631}"/>
              </a:ext>
            </a:extLst>
          </xdr:cNvPr>
          <xdr:cNvCxnSpPr>
            <a:stCxn id="22" idx="7"/>
          </xdr:cNvCxnSpPr>
        </xdr:nvCxnSpPr>
        <xdr:spPr>
          <a:xfrm flipV="1">
            <a:off x="1058508" y="655320"/>
            <a:ext cx="663612" cy="129381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Arrow Connector 17">
            <a:extLst>
              <a:ext uri="{FF2B5EF4-FFF2-40B4-BE49-F238E27FC236}">
                <a16:creationId xmlns:a16="http://schemas.microsoft.com/office/drawing/2014/main" id="{FA504419-2CBC-0C95-242A-A488AB43F4E5}"/>
              </a:ext>
            </a:extLst>
          </xdr:cNvPr>
          <xdr:cNvCxnSpPr>
            <a:stCxn id="21" idx="5"/>
          </xdr:cNvCxnSpPr>
        </xdr:nvCxnSpPr>
        <xdr:spPr>
          <a:xfrm flipV="1">
            <a:off x="1155209" y="952500"/>
            <a:ext cx="574531" cy="120005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AAE155E6-C29A-D38A-C05F-3D3248BC0F6F}"/>
              </a:ext>
            </a:extLst>
          </xdr:cNvPr>
          <xdr:cNvSpPr txBox="1"/>
        </xdr:nvSpPr>
        <xdr:spPr>
          <a:xfrm>
            <a:off x="1813560" y="502920"/>
            <a:ext cx="601980" cy="2590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GPIO 4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910212CD-2C84-0AD0-3074-F6F212BCF89B}"/>
              </a:ext>
            </a:extLst>
          </xdr:cNvPr>
          <xdr:cNvSpPr txBox="1"/>
        </xdr:nvSpPr>
        <xdr:spPr>
          <a:xfrm>
            <a:off x="1798320" y="830580"/>
            <a:ext cx="601980" cy="2590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GND</a:t>
            </a:r>
          </a:p>
        </xdr:txBody>
      </xdr:sp>
    </xdr:grpSp>
    <xdr:clientData/>
  </xdr:twoCellAnchor>
  <xdr:twoCellAnchor>
    <xdr:from>
      <xdr:col>7</xdr:col>
      <xdr:colOff>358140</xdr:colOff>
      <xdr:row>4</xdr:row>
      <xdr:rowOff>68580</xdr:rowOff>
    </xdr:from>
    <xdr:to>
      <xdr:col>10</xdr:col>
      <xdr:colOff>457200</xdr:colOff>
      <xdr:row>9</xdr:row>
      <xdr:rowOff>160020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C3C01686-558B-464D-B604-6722CC80015A}"/>
            </a:ext>
          </a:extLst>
        </xdr:cNvPr>
        <xdr:cNvGrpSpPr/>
      </xdr:nvGrpSpPr>
      <xdr:grpSpPr>
        <a:xfrm>
          <a:off x="4625340" y="785756"/>
          <a:ext cx="1927860" cy="987911"/>
          <a:chOff x="533400" y="144780"/>
          <a:chExt cx="1927860" cy="1005840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9A7D7CBE-5C24-B92D-BE6E-D355852FEB8A}"/>
              </a:ext>
            </a:extLst>
          </xdr:cNvPr>
          <xdr:cNvGrpSpPr/>
        </xdr:nvGrpSpPr>
        <xdr:grpSpPr>
          <a:xfrm>
            <a:off x="693420" y="617220"/>
            <a:ext cx="541020" cy="533400"/>
            <a:chOff x="952500" y="274320"/>
            <a:chExt cx="541020" cy="533400"/>
          </a:xfrm>
        </xdr:grpSpPr>
        <xdr:sp macro="" textlink="">
          <xdr:nvSpPr>
            <xdr:cNvPr id="30" name="Oval 29">
              <a:extLst>
                <a:ext uri="{FF2B5EF4-FFF2-40B4-BE49-F238E27FC236}">
                  <a16:creationId xmlns:a16="http://schemas.microsoft.com/office/drawing/2014/main" id="{197A6CA2-80E7-068A-FD13-67D976267AFF}"/>
                </a:ext>
              </a:extLst>
            </xdr:cNvPr>
            <xdr:cNvSpPr/>
          </xdr:nvSpPr>
          <xdr:spPr>
            <a:xfrm>
              <a:off x="952500" y="274320"/>
              <a:ext cx="541020" cy="533400"/>
            </a:xfrm>
            <a:prstGeom prst="ellipse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1" name="Oval 30">
              <a:extLst>
                <a:ext uri="{FF2B5EF4-FFF2-40B4-BE49-F238E27FC236}">
                  <a16:creationId xmlns:a16="http://schemas.microsoft.com/office/drawing/2014/main" id="{AA60FB77-EB01-970A-8275-44DB40E9CC6D}"/>
                </a:ext>
              </a:extLst>
            </xdr:cNvPr>
            <xdr:cNvSpPr/>
          </xdr:nvSpPr>
          <xdr:spPr>
            <a:xfrm>
              <a:off x="1070860" y="403860"/>
              <a:ext cx="289060" cy="259080"/>
            </a:xfrm>
            <a:prstGeom prst="ellips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D2F9BDAB-5CC4-2531-0CD1-991EAAAB42F3}"/>
              </a:ext>
            </a:extLst>
          </xdr:cNvPr>
          <xdr:cNvSpPr txBox="1"/>
        </xdr:nvSpPr>
        <xdr:spPr>
          <a:xfrm>
            <a:off x="533400" y="144780"/>
            <a:ext cx="937260" cy="4419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RPM Propeller</a:t>
            </a:r>
          </a:p>
        </xdr:txBody>
      </xdr:sp>
      <xdr:cxnSp macro="">
        <xdr:nvCxnSpPr>
          <xdr:cNvPr id="26" name="Straight Arrow Connector 25">
            <a:extLst>
              <a:ext uri="{FF2B5EF4-FFF2-40B4-BE49-F238E27FC236}">
                <a16:creationId xmlns:a16="http://schemas.microsoft.com/office/drawing/2014/main" id="{88B9C542-77B5-398E-6658-AA19CE5EAA63}"/>
              </a:ext>
            </a:extLst>
          </xdr:cNvPr>
          <xdr:cNvCxnSpPr>
            <a:stCxn id="31" idx="7"/>
          </xdr:cNvCxnSpPr>
        </xdr:nvCxnSpPr>
        <xdr:spPr>
          <a:xfrm flipV="1">
            <a:off x="1058508" y="655320"/>
            <a:ext cx="663612" cy="129381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BE7AD54C-9AC8-C5CD-A547-229640B367FD}"/>
              </a:ext>
            </a:extLst>
          </xdr:cNvPr>
          <xdr:cNvCxnSpPr>
            <a:stCxn id="30" idx="5"/>
          </xdr:cNvCxnSpPr>
        </xdr:nvCxnSpPr>
        <xdr:spPr>
          <a:xfrm flipV="1">
            <a:off x="1155209" y="952500"/>
            <a:ext cx="574531" cy="120005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4EC4D1C5-829C-E07C-DC50-55171BB62297}"/>
              </a:ext>
            </a:extLst>
          </xdr:cNvPr>
          <xdr:cNvSpPr txBox="1"/>
        </xdr:nvSpPr>
        <xdr:spPr>
          <a:xfrm>
            <a:off x="1813560" y="502920"/>
            <a:ext cx="601980" cy="2590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GPIO 9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728E3911-C69F-2AE8-9054-DB04E22D6529}"/>
              </a:ext>
            </a:extLst>
          </xdr:cNvPr>
          <xdr:cNvSpPr txBox="1"/>
        </xdr:nvSpPr>
        <xdr:spPr>
          <a:xfrm>
            <a:off x="1798320" y="830580"/>
            <a:ext cx="662940" cy="2590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GPIO 10</a:t>
            </a:r>
          </a:p>
        </xdr:txBody>
      </xdr:sp>
    </xdr:grpSp>
    <xdr:clientData/>
  </xdr:twoCellAnchor>
  <xdr:twoCellAnchor>
    <xdr:from>
      <xdr:col>2</xdr:col>
      <xdr:colOff>88302</xdr:colOff>
      <xdr:row>1</xdr:row>
      <xdr:rowOff>38100</xdr:rowOff>
    </xdr:from>
    <xdr:to>
      <xdr:col>9</xdr:col>
      <xdr:colOff>412376</xdr:colOff>
      <xdr:row>2</xdr:row>
      <xdr:rowOff>152400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2A2F0EA-BA79-F509-942D-1688C5D60892}"/>
            </a:ext>
          </a:extLst>
        </xdr:cNvPr>
        <xdr:cNvSpPr txBox="1"/>
      </xdr:nvSpPr>
      <xdr:spPr>
        <a:xfrm>
          <a:off x="1307502" y="217394"/>
          <a:ext cx="4591274" cy="293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Note:</a:t>
          </a:r>
          <a:r>
            <a:rPr lang="en-US" sz="1400" b="1" baseline="0"/>
            <a:t> semua konektor tampak depan dari luar control box</a:t>
          </a:r>
          <a:endParaRPr lang="en-US" sz="1400" b="1"/>
        </a:p>
      </xdr:txBody>
    </xdr:sp>
    <xdr:clientData/>
  </xdr:twoCellAnchor>
  <xdr:twoCellAnchor>
    <xdr:from>
      <xdr:col>0</xdr:col>
      <xdr:colOff>121920</xdr:colOff>
      <xdr:row>12</xdr:row>
      <xdr:rowOff>160020</xdr:rowOff>
    </xdr:from>
    <xdr:to>
      <xdr:col>5</xdr:col>
      <xdr:colOff>403860</xdr:colOff>
      <xdr:row>23</xdr:row>
      <xdr:rowOff>114300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901D7BBE-E631-8FA0-67E2-B90DFBBC226B}"/>
            </a:ext>
          </a:extLst>
        </xdr:cNvPr>
        <xdr:cNvGrpSpPr/>
      </xdr:nvGrpSpPr>
      <xdr:grpSpPr>
        <a:xfrm>
          <a:off x="121920" y="2311549"/>
          <a:ext cx="3329940" cy="1926516"/>
          <a:chOff x="464820" y="2225040"/>
          <a:chExt cx="3329940" cy="1965960"/>
        </a:xfrm>
      </xdr:grpSpPr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FB7B5DD1-9B8F-36F1-F41A-82106113C875}"/>
              </a:ext>
            </a:extLst>
          </xdr:cNvPr>
          <xdr:cNvGrpSpPr/>
        </xdr:nvGrpSpPr>
        <xdr:grpSpPr>
          <a:xfrm>
            <a:off x="1127760" y="2575560"/>
            <a:ext cx="2156460" cy="1615440"/>
            <a:chOff x="358140" y="2788920"/>
            <a:chExt cx="2156460" cy="1615440"/>
          </a:xfrm>
        </xdr:grpSpPr>
        <xdr:grpSp>
          <xdr:nvGrpSpPr>
            <xdr:cNvPr id="48" name="Group 47">
              <a:extLst>
                <a:ext uri="{FF2B5EF4-FFF2-40B4-BE49-F238E27FC236}">
                  <a16:creationId xmlns:a16="http://schemas.microsoft.com/office/drawing/2014/main" id="{9832C00C-F2FD-FB70-B292-90909CEA25F4}"/>
                </a:ext>
              </a:extLst>
            </xdr:cNvPr>
            <xdr:cNvGrpSpPr/>
          </xdr:nvGrpSpPr>
          <xdr:grpSpPr>
            <a:xfrm>
              <a:off x="716280" y="3025140"/>
              <a:ext cx="1264920" cy="1325880"/>
              <a:chOff x="1280160" y="2727960"/>
              <a:chExt cx="1264920" cy="1325880"/>
            </a:xfrm>
          </xdr:grpSpPr>
          <xdr:sp macro="" textlink="">
            <xdr:nvSpPr>
              <xdr:cNvPr id="42" name="Oval 41">
                <a:extLst>
                  <a:ext uri="{FF2B5EF4-FFF2-40B4-BE49-F238E27FC236}">
                    <a16:creationId xmlns:a16="http://schemas.microsoft.com/office/drawing/2014/main" id="{4BCB730A-110A-200A-7B47-A47E3DE28A58}"/>
                  </a:ext>
                </a:extLst>
              </xdr:cNvPr>
              <xdr:cNvSpPr/>
            </xdr:nvSpPr>
            <xdr:spPr>
              <a:xfrm>
                <a:off x="1280160" y="2727960"/>
                <a:ext cx="1264920" cy="1264920"/>
              </a:xfrm>
              <a:prstGeom prst="ellipse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3" name="Oval 42">
                <a:extLst>
                  <a:ext uri="{FF2B5EF4-FFF2-40B4-BE49-F238E27FC236}">
                    <a16:creationId xmlns:a16="http://schemas.microsoft.com/office/drawing/2014/main" id="{04DE5CA7-3AA4-4C4C-B463-5A5FC10F606E}"/>
                  </a:ext>
                </a:extLst>
              </xdr:cNvPr>
              <xdr:cNvSpPr/>
            </xdr:nvSpPr>
            <xdr:spPr>
              <a:xfrm>
                <a:off x="1478280" y="294894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4" name="Oval 43">
                <a:extLst>
                  <a:ext uri="{FF2B5EF4-FFF2-40B4-BE49-F238E27FC236}">
                    <a16:creationId xmlns:a16="http://schemas.microsoft.com/office/drawing/2014/main" id="{14DD9C53-7227-48F2-B4B1-E60E9CF2E43A}"/>
                  </a:ext>
                </a:extLst>
              </xdr:cNvPr>
              <xdr:cNvSpPr/>
            </xdr:nvSpPr>
            <xdr:spPr>
              <a:xfrm>
                <a:off x="2080260" y="294894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5" name="Oval 44">
                <a:extLst>
                  <a:ext uri="{FF2B5EF4-FFF2-40B4-BE49-F238E27FC236}">
                    <a16:creationId xmlns:a16="http://schemas.microsoft.com/office/drawing/2014/main" id="{BFA87869-D154-46AF-AF83-4123B09A2A37}"/>
                  </a:ext>
                </a:extLst>
              </xdr:cNvPr>
              <xdr:cNvSpPr/>
            </xdr:nvSpPr>
            <xdr:spPr>
              <a:xfrm>
                <a:off x="1493520" y="352806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6" name="Oval 45">
                <a:extLst>
                  <a:ext uri="{FF2B5EF4-FFF2-40B4-BE49-F238E27FC236}">
                    <a16:creationId xmlns:a16="http://schemas.microsoft.com/office/drawing/2014/main" id="{41D7D80A-F6B3-4D1A-BC84-405B32BEF6F2}"/>
                  </a:ext>
                </a:extLst>
              </xdr:cNvPr>
              <xdr:cNvSpPr/>
            </xdr:nvSpPr>
            <xdr:spPr>
              <a:xfrm>
                <a:off x="2065020" y="351282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7" name="Chord 46">
                <a:extLst>
                  <a:ext uri="{FF2B5EF4-FFF2-40B4-BE49-F238E27FC236}">
                    <a16:creationId xmlns:a16="http://schemas.microsoft.com/office/drawing/2014/main" id="{C0DB93C7-2E28-1F14-02E7-A485A1E4C47B}"/>
                  </a:ext>
                </a:extLst>
              </xdr:cNvPr>
              <xdr:cNvSpPr/>
            </xdr:nvSpPr>
            <xdr:spPr>
              <a:xfrm rot="6842570">
                <a:off x="1798320" y="3825240"/>
                <a:ext cx="228600" cy="228600"/>
              </a:xfrm>
              <a:prstGeom prst="chord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cxnSp macro="">
          <xdr:nvCxnSpPr>
            <xdr:cNvPr id="50" name="Straight Arrow Connector 49">
              <a:extLst>
                <a:ext uri="{FF2B5EF4-FFF2-40B4-BE49-F238E27FC236}">
                  <a16:creationId xmlns:a16="http://schemas.microsoft.com/office/drawing/2014/main" id="{7F43CFF0-B463-5174-B94D-633C5209470C}"/>
                </a:ext>
              </a:extLst>
            </xdr:cNvPr>
            <xdr:cNvCxnSpPr>
              <a:stCxn id="43" idx="7"/>
            </xdr:cNvCxnSpPr>
          </xdr:nvCxnSpPr>
          <xdr:spPr>
            <a:xfrm flipH="1" flipV="1">
              <a:off x="678180" y="2788920"/>
              <a:ext cx="424838" cy="48956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Arrow Connector 51">
              <a:extLst>
                <a:ext uri="{FF2B5EF4-FFF2-40B4-BE49-F238E27FC236}">
                  <a16:creationId xmlns:a16="http://schemas.microsoft.com/office/drawing/2014/main" id="{A003DBF7-CF91-6401-32EE-73C7C6041637}"/>
                </a:ext>
              </a:extLst>
            </xdr:cNvPr>
            <xdr:cNvCxnSpPr>
              <a:stCxn id="44" idx="6"/>
            </xdr:cNvCxnSpPr>
          </xdr:nvCxnSpPr>
          <xdr:spPr>
            <a:xfrm flipV="1">
              <a:off x="1737360" y="3131820"/>
              <a:ext cx="777240" cy="22479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Arrow Connector 53">
              <a:extLst>
                <a:ext uri="{FF2B5EF4-FFF2-40B4-BE49-F238E27FC236}">
                  <a16:creationId xmlns:a16="http://schemas.microsoft.com/office/drawing/2014/main" id="{0B1B0DDA-A743-0E24-D99A-5D002CC1D7ED}"/>
                </a:ext>
              </a:extLst>
            </xdr:cNvPr>
            <xdr:cNvCxnSpPr>
              <a:stCxn id="46" idx="6"/>
            </xdr:cNvCxnSpPr>
          </xdr:nvCxnSpPr>
          <xdr:spPr>
            <a:xfrm flipV="1">
              <a:off x="1722120" y="3901440"/>
              <a:ext cx="784860" cy="190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6" name="Straight Arrow Connector 55">
              <a:extLst>
                <a:ext uri="{FF2B5EF4-FFF2-40B4-BE49-F238E27FC236}">
                  <a16:creationId xmlns:a16="http://schemas.microsoft.com/office/drawing/2014/main" id="{6CE98F61-99E5-484A-0FAA-6AE69DCA4A34}"/>
                </a:ext>
              </a:extLst>
            </xdr:cNvPr>
            <xdr:cNvCxnSpPr>
              <a:stCxn id="45" idx="3"/>
            </xdr:cNvCxnSpPr>
          </xdr:nvCxnSpPr>
          <xdr:spPr>
            <a:xfrm flipH="1">
              <a:off x="358140" y="4013858"/>
              <a:ext cx="603862" cy="39050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1FF306E3-C0D2-432D-AF2B-4A8168E639B5}"/>
              </a:ext>
            </a:extLst>
          </xdr:cNvPr>
          <xdr:cNvSpPr txBox="1"/>
        </xdr:nvSpPr>
        <xdr:spPr>
          <a:xfrm>
            <a:off x="1859280" y="2385060"/>
            <a:ext cx="76962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GNSS GPS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7115CF6E-D3D7-4A07-AF66-6C2F3C784265}"/>
              </a:ext>
            </a:extLst>
          </xdr:cNvPr>
          <xdr:cNvSpPr txBox="1"/>
        </xdr:nvSpPr>
        <xdr:spPr>
          <a:xfrm>
            <a:off x="982980" y="2225040"/>
            <a:ext cx="65532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GPIO 18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D26B4192-271F-44E5-A682-B24DB518008B}"/>
              </a:ext>
            </a:extLst>
          </xdr:cNvPr>
          <xdr:cNvSpPr txBox="1"/>
        </xdr:nvSpPr>
        <xdr:spPr>
          <a:xfrm>
            <a:off x="2956560" y="2583180"/>
            <a:ext cx="65532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GPIO 17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604AFFD8-0DB5-47BB-9DA5-832DDBF8271A}"/>
              </a:ext>
            </a:extLst>
          </xdr:cNvPr>
          <xdr:cNvSpPr txBox="1"/>
        </xdr:nvSpPr>
        <xdr:spPr>
          <a:xfrm>
            <a:off x="3314700" y="3528060"/>
            <a:ext cx="48006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GND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4FCE6468-57F1-4B11-8497-133EFE0EDD41}"/>
              </a:ext>
            </a:extLst>
          </xdr:cNvPr>
          <xdr:cNvSpPr txBox="1"/>
        </xdr:nvSpPr>
        <xdr:spPr>
          <a:xfrm>
            <a:off x="464820" y="3810000"/>
            <a:ext cx="63246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VCC</a:t>
            </a:r>
            <a:r>
              <a:rPr lang="en-US" sz="1100" baseline="0"/>
              <a:t> 5V</a:t>
            </a:r>
            <a:endParaRPr lang="en-US" sz="1100"/>
          </a:p>
        </xdr:txBody>
      </xdr:sp>
    </xdr:grpSp>
    <xdr:clientData/>
  </xdr:twoCellAnchor>
  <xdr:twoCellAnchor>
    <xdr:from>
      <xdr:col>6</xdr:col>
      <xdr:colOff>510540</xdr:colOff>
      <xdr:row>12</xdr:row>
      <xdr:rowOff>121920</xdr:rowOff>
    </xdr:from>
    <xdr:to>
      <xdr:col>12</xdr:col>
      <xdr:colOff>182880</xdr:colOff>
      <xdr:row>23</xdr:row>
      <xdr:rowOff>76200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999AEB9A-24DD-4261-B878-275E2D12C33E}"/>
            </a:ext>
          </a:extLst>
        </xdr:cNvPr>
        <xdr:cNvGrpSpPr/>
      </xdr:nvGrpSpPr>
      <xdr:grpSpPr>
        <a:xfrm>
          <a:off x="4168140" y="2273449"/>
          <a:ext cx="3329940" cy="1926516"/>
          <a:chOff x="464820" y="2225040"/>
          <a:chExt cx="3329940" cy="1965960"/>
        </a:xfrm>
      </xdr:grpSpPr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234D3332-3AC1-66D3-2A9D-2E42CBC30ECE}"/>
              </a:ext>
            </a:extLst>
          </xdr:cNvPr>
          <xdr:cNvGrpSpPr/>
        </xdr:nvGrpSpPr>
        <xdr:grpSpPr>
          <a:xfrm>
            <a:off x="1127760" y="2575560"/>
            <a:ext cx="2156460" cy="1615440"/>
            <a:chOff x="358140" y="2788920"/>
            <a:chExt cx="2156460" cy="1615440"/>
          </a:xfrm>
        </xdr:grpSpPr>
        <xdr:grpSp>
          <xdr:nvGrpSpPr>
            <xdr:cNvPr id="72" name="Group 71">
              <a:extLst>
                <a:ext uri="{FF2B5EF4-FFF2-40B4-BE49-F238E27FC236}">
                  <a16:creationId xmlns:a16="http://schemas.microsoft.com/office/drawing/2014/main" id="{F1BD15C3-D4C5-54DF-53DD-EE3A8A7ECEDC}"/>
                </a:ext>
              </a:extLst>
            </xdr:cNvPr>
            <xdr:cNvGrpSpPr/>
          </xdr:nvGrpSpPr>
          <xdr:grpSpPr>
            <a:xfrm>
              <a:off x="716280" y="3025140"/>
              <a:ext cx="1264920" cy="1325880"/>
              <a:chOff x="1280160" y="2727960"/>
              <a:chExt cx="1264920" cy="1325880"/>
            </a:xfrm>
          </xdr:grpSpPr>
          <xdr:sp macro="" textlink="">
            <xdr:nvSpPr>
              <xdr:cNvPr id="77" name="Oval 76">
                <a:extLst>
                  <a:ext uri="{FF2B5EF4-FFF2-40B4-BE49-F238E27FC236}">
                    <a16:creationId xmlns:a16="http://schemas.microsoft.com/office/drawing/2014/main" id="{43AC12D9-442F-85E5-1B66-B6C229683181}"/>
                  </a:ext>
                </a:extLst>
              </xdr:cNvPr>
              <xdr:cNvSpPr/>
            </xdr:nvSpPr>
            <xdr:spPr>
              <a:xfrm>
                <a:off x="1280160" y="2727960"/>
                <a:ext cx="1264920" cy="1264920"/>
              </a:xfrm>
              <a:prstGeom prst="ellipse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78" name="Oval 77">
                <a:extLst>
                  <a:ext uri="{FF2B5EF4-FFF2-40B4-BE49-F238E27FC236}">
                    <a16:creationId xmlns:a16="http://schemas.microsoft.com/office/drawing/2014/main" id="{03389E16-1EAF-6A37-23E2-AC7651BB4E74}"/>
                  </a:ext>
                </a:extLst>
              </xdr:cNvPr>
              <xdr:cNvSpPr/>
            </xdr:nvSpPr>
            <xdr:spPr>
              <a:xfrm>
                <a:off x="1478280" y="294894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79" name="Oval 78">
                <a:extLst>
                  <a:ext uri="{FF2B5EF4-FFF2-40B4-BE49-F238E27FC236}">
                    <a16:creationId xmlns:a16="http://schemas.microsoft.com/office/drawing/2014/main" id="{96E601AB-3EC8-8F4B-272D-FD2B193E4209}"/>
                  </a:ext>
                </a:extLst>
              </xdr:cNvPr>
              <xdr:cNvSpPr/>
            </xdr:nvSpPr>
            <xdr:spPr>
              <a:xfrm>
                <a:off x="2080260" y="294894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0" name="Oval 79">
                <a:extLst>
                  <a:ext uri="{FF2B5EF4-FFF2-40B4-BE49-F238E27FC236}">
                    <a16:creationId xmlns:a16="http://schemas.microsoft.com/office/drawing/2014/main" id="{621B8FC9-6298-35E1-E0E6-C4E760949A7D}"/>
                  </a:ext>
                </a:extLst>
              </xdr:cNvPr>
              <xdr:cNvSpPr/>
            </xdr:nvSpPr>
            <xdr:spPr>
              <a:xfrm>
                <a:off x="1493520" y="352806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1" name="Oval 80">
                <a:extLst>
                  <a:ext uri="{FF2B5EF4-FFF2-40B4-BE49-F238E27FC236}">
                    <a16:creationId xmlns:a16="http://schemas.microsoft.com/office/drawing/2014/main" id="{6FBFAADF-F18C-0083-ABC7-D97ACE5F4356}"/>
                  </a:ext>
                </a:extLst>
              </xdr:cNvPr>
              <xdr:cNvSpPr/>
            </xdr:nvSpPr>
            <xdr:spPr>
              <a:xfrm>
                <a:off x="2065020" y="351282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2" name="Chord 81">
                <a:extLst>
                  <a:ext uri="{FF2B5EF4-FFF2-40B4-BE49-F238E27FC236}">
                    <a16:creationId xmlns:a16="http://schemas.microsoft.com/office/drawing/2014/main" id="{59A01A47-5771-A3F4-9AF1-A9B3070CF07B}"/>
                  </a:ext>
                </a:extLst>
              </xdr:cNvPr>
              <xdr:cNvSpPr/>
            </xdr:nvSpPr>
            <xdr:spPr>
              <a:xfrm rot="6842570">
                <a:off x="1798320" y="3825240"/>
                <a:ext cx="228600" cy="228600"/>
              </a:xfrm>
              <a:prstGeom prst="chord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cxnSp macro="">
          <xdr:nvCxnSpPr>
            <xdr:cNvPr id="73" name="Straight Arrow Connector 72">
              <a:extLst>
                <a:ext uri="{FF2B5EF4-FFF2-40B4-BE49-F238E27FC236}">
                  <a16:creationId xmlns:a16="http://schemas.microsoft.com/office/drawing/2014/main" id="{899F452C-E914-12AB-83E1-3D4A919DDD35}"/>
                </a:ext>
              </a:extLst>
            </xdr:cNvPr>
            <xdr:cNvCxnSpPr>
              <a:stCxn id="78" idx="7"/>
            </xdr:cNvCxnSpPr>
          </xdr:nvCxnSpPr>
          <xdr:spPr>
            <a:xfrm flipH="1" flipV="1">
              <a:off x="678180" y="2788920"/>
              <a:ext cx="424838" cy="48956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4" name="Straight Arrow Connector 73">
              <a:extLst>
                <a:ext uri="{FF2B5EF4-FFF2-40B4-BE49-F238E27FC236}">
                  <a16:creationId xmlns:a16="http://schemas.microsoft.com/office/drawing/2014/main" id="{2DBD3EB4-E865-10E9-0CFD-B5841D22CAFE}"/>
                </a:ext>
              </a:extLst>
            </xdr:cNvPr>
            <xdr:cNvCxnSpPr>
              <a:stCxn id="79" idx="6"/>
            </xdr:cNvCxnSpPr>
          </xdr:nvCxnSpPr>
          <xdr:spPr>
            <a:xfrm flipV="1">
              <a:off x="1737360" y="3131820"/>
              <a:ext cx="777240" cy="22479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" name="Straight Arrow Connector 74">
              <a:extLst>
                <a:ext uri="{FF2B5EF4-FFF2-40B4-BE49-F238E27FC236}">
                  <a16:creationId xmlns:a16="http://schemas.microsoft.com/office/drawing/2014/main" id="{39C9F2A0-0504-C26E-A551-160BB2FA3878}"/>
                </a:ext>
              </a:extLst>
            </xdr:cNvPr>
            <xdr:cNvCxnSpPr>
              <a:stCxn id="81" idx="6"/>
            </xdr:cNvCxnSpPr>
          </xdr:nvCxnSpPr>
          <xdr:spPr>
            <a:xfrm flipV="1">
              <a:off x="1722120" y="3901440"/>
              <a:ext cx="784860" cy="190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" name="Straight Arrow Connector 75">
              <a:extLst>
                <a:ext uri="{FF2B5EF4-FFF2-40B4-BE49-F238E27FC236}">
                  <a16:creationId xmlns:a16="http://schemas.microsoft.com/office/drawing/2014/main" id="{B470A1B4-052A-BC79-AC38-53F60A1DF9E5}"/>
                </a:ext>
              </a:extLst>
            </xdr:cNvPr>
            <xdr:cNvCxnSpPr>
              <a:stCxn id="80" idx="3"/>
            </xdr:cNvCxnSpPr>
          </xdr:nvCxnSpPr>
          <xdr:spPr>
            <a:xfrm flipH="1">
              <a:off x="358140" y="4013858"/>
              <a:ext cx="603862" cy="39050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4D7F6D75-B311-68D9-8B11-C1510B82F9EE}"/>
              </a:ext>
            </a:extLst>
          </xdr:cNvPr>
          <xdr:cNvSpPr txBox="1"/>
        </xdr:nvSpPr>
        <xdr:spPr>
          <a:xfrm>
            <a:off x="1859280" y="2293620"/>
            <a:ext cx="891540" cy="4419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AHRS HWT 905 TTL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336FBD29-7A61-E39D-F6C0-2E1A87EE3BC0}"/>
              </a:ext>
            </a:extLst>
          </xdr:cNvPr>
          <xdr:cNvSpPr txBox="1"/>
        </xdr:nvSpPr>
        <xdr:spPr>
          <a:xfrm>
            <a:off x="982980" y="2225040"/>
            <a:ext cx="65532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Unused</a:t>
            </a:r>
          </a:p>
        </xdr:txBody>
      </xdr: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5BEC00AE-F2FF-B5DF-8B4C-14678B6BB0A6}"/>
              </a:ext>
            </a:extLst>
          </xdr:cNvPr>
          <xdr:cNvSpPr txBox="1"/>
        </xdr:nvSpPr>
        <xdr:spPr>
          <a:xfrm>
            <a:off x="2956560" y="2583180"/>
            <a:ext cx="65532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GPIO 16</a:t>
            </a:r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5924C1CE-D3B2-D0AE-B402-393B1A1CA7C1}"/>
              </a:ext>
            </a:extLst>
          </xdr:cNvPr>
          <xdr:cNvSpPr txBox="1"/>
        </xdr:nvSpPr>
        <xdr:spPr>
          <a:xfrm>
            <a:off x="3314700" y="3528060"/>
            <a:ext cx="48006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GND</a:t>
            </a: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D76CECA-D72B-90F6-7F31-33346877988B}"/>
              </a:ext>
            </a:extLst>
          </xdr:cNvPr>
          <xdr:cNvSpPr txBox="1"/>
        </xdr:nvSpPr>
        <xdr:spPr>
          <a:xfrm>
            <a:off x="464820" y="3810000"/>
            <a:ext cx="63246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VCC</a:t>
            </a:r>
            <a:r>
              <a:rPr lang="en-US" sz="1100" baseline="0"/>
              <a:t> 5V</a:t>
            </a:r>
            <a:endParaRPr lang="en-US" sz="1100"/>
          </a:p>
        </xdr:txBody>
      </xdr:sp>
    </xdr:grpSp>
    <xdr:clientData/>
  </xdr:twoCellAnchor>
  <xdr:twoCellAnchor>
    <xdr:from>
      <xdr:col>0</xdr:col>
      <xdr:colOff>295835</xdr:colOff>
      <xdr:row>26</xdr:row>
      <xdr:rowOff>1</xdr:rowOff>
    </xdr:from>
    <xdr:to>
      <xdr:col>5</xdr:col>
      <xdr:colOff>403412</xdr:colOff>
      <xdr:row>36</xdr:row>
      <xdr:rowOff>133576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A2FE925B-3864-4D07-BB71-A86E9A4FDB3F}"/>
            </a:ext>
          </a:extLst>
        </xdr:cNvPr>
        <xdr:cNvGrpSpPr/>
      </xdr:nvGrpSpPr>
      <xdr:grpSpPr>
        <a:xfrm>
          <a:off x="295835" y="4661648"/>
          <a:ext cx="3155577" cy="1926516"/>
          <a:chOff x="733761" y="2225040"/>
          <a:chExt cx="3155577" cy="1965960"/>
        </a:xfrm>
      </xdr:grpSpPr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F1D0AA85-5188-9C88-9B13-2C7D74A657A2}"/>
              </a:ext>
            </a:extLst>
          </xdr:cNvPr>
          <xdr:cNvGrpSpPr/>
        </xdr:nvGrpSpPr>
        <xdr:grpSpPr>
          <a:xfrm>
            <a:off x="1127760" y="2575560"/>
            <a:ext cx="2156460" cy="1615440"/>
            <a:chOff x="358140" y="2788920"/>
            <a:chExt cx="2156460" cy="1615440"/>
          </a:xfrm>
        </xdr:grpSpPr>
        <xdr:grpSp>
          <xdr:nvGrpSpPr>
            <xdr:cNvPr id="90" name="Group 89">
              <a:extLst>
                <a:ext uri="{FF2B5EF4-FFF2-40B4-BE49-F238E27FC236}">
                  <a16:creationId xmlns:a16="http://schemas.microsoft.com/office/drawing/2014/main" id="{AFDA8F44-271C-C653-C856-062093805BDC}"/>
                </a:ext>
              </a:extLst>
            </xdr:cNvPr>
            <xdr:cNvGrpSpPr/>
          </xdr:nvGrpSpPr>
          <xdr:grpSpPr>
            <a:xfrm>
              <a:off x="716280" y="3025140"/>
              <a:ext cx="1264920" cy="1325880"/>
              <a:chOff x="1280160" y="2727960"/>
              <a:chExt cx="1264920" cy="1325880"/>
            </a:xfrm>
          </xdr:grpSpPr>
          <xdr:sp macro="" textlink="">
            <xdr:nvSpPr>
              <xdr:cNvPr id="95" name="Oval 94">
                <a:extLst>
                  <a:ext uri="{FF2B5EF4-FFF2-40B4-BE49-F238E27FC236}">
                    <a16:creationId xmlns:a16="http://schemas.microsoft.com/office/drawing/2014/main" id="{4010E73A-DB13-ED01-D971-8A7777E3AB4E}"/>
                  </a:ext>
                </a:extLst>
              </xdr:cNvPr>
              <xdr:cNvSpPr/>
            </xdr:nvSpPr>
            <xdr:spPr>
              <a:xfrm>
                <a:off x="1280160" y="2727960"/>
                <a:ext cx="1264920" cy="1264920"/>
              </a:xfrm>
              <a:prstGeom prst="ellipse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96" name="Oval 95">
                <a:extLst>
                  <a:ext uri="{FF2B5EF4-FFF2-40B4-BE49-F238E27FC236}">
                    <a16:creationId xmlns:a16="http://schemas.microsoft.com/office/drawing/2014/main" id="{702125E4-21F3-2747-F2DD-BDE1A8AD5BFD}"/>
                  </a:ext>
                </a:extLst>
              </xdr:cNvPr>
              <xdr:cNvSpPr/>
            </xdr:nvSpPr>
            <xdr:spPr>
              <a:xfrm>
                <a:off x="1478280" y="294894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97" name="Oval 96">
                <a:extLst>
                  <a:ext uri="{FF2B5EF4-FFF2-40B4-BE49-F238E27FC236}">
                    <a16:creationId xmlns:a16="http://schemas.microsoft.com/office/drawing/2014/main" id="{36023C7B-66FB-CED9-64A9-A76D479CEAF3}"/>
                  </a:ext>
                </a:extLst>
              </xdr:cNvPr>
              <xdr:cNvSpPr/>
            </xdr:nvSpPr>
            <xdr:spPr>
              <a:xfrm>
                <a:off x="2080260" y="294894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98" name="Oval 97">
                <a:extLst>
                  <a:ext uri="{FF2B5EF4-FFF2-40B4-BE49-F238E27FC236}">
                    <a16:creationId xmlns:a16="http://schemas.microsoft.com/office/drawing/2014/main" id="{3B021A36-396E-9DDA-075C-50B7A4AF6CE8}"/>
                  </a:ext>
                </a:extLst>
              </xdr:cNvPr>
              <xdr:cNvSpPr/>
            </xdr:nvSpPr>
            <xdr:spPr>
              <a:xfrm>
                <a:off x="1493520" y="352806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99" name="Oval 98">
                <a:extLst>
                  <a:ext uri="{FF2B5EF4-FFF2-40B4-BE49-F238E27FC236}">
                    <a16:creationId xmlns:a16="http://schemas.microsoft.com/office/drawing/2014/main" id="{772847CE-4532-3B5D-25EA-44DB6C2B262C}"/>
                  </a:ext>
                </a:extLst>
              </xdr:cNvPr>
              <xdr:cNvSpPr/>
            </xdr:nvSpPr>
            <xdr:spPr>
              <a:xfrm>
                <a:off x="2065020" y="351282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00" name="Chord 99">
                <a:extLst>
                  <a:ext uri="{FF2B5EF4-FFF2-40B4-BE49-F238E27FC236}">
                    <a16:creationId xmlns:a16="http://schemas.microsoft.com/office/drawing/2014/main" id="{A5C3FD87-1D1E-3E6F-FBC2-BC514C33B1AC}"/>
                  </a:ext>
                </a:extLst>
              </xdr:cNvPr>
              <xdr:cNvSpPr/>
            </xdr:nvSpPr>
            <xdr:spPr>
              <a:xfrm rot="6842570">
                <a:off x="1798320" y="3825240"/>
                <a:ext cx="228600" cy="228600"/>
              </a:xfrm>
              <a:prstGeom prst="chord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E4119161-5ACC-A272-EEF4-2A98B46C6388}"/>
                </a:ext>
              </a:extLst>
            </xdr:cNvPr>
            <xdr:cNvCxnSpPr>
              <a:stCxn id="96" idx="7"/>
            </xdr:cNvCxnSpPr>
          </xdr:nvCxnSpPr>
          <xdr:spPr>
            <a:xfrm flipH="1" flipV="1">
              <a:off x="678180" y="2788920"/>
              <a:ext cx="424838" cy="48956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B0878EE6-A2A3-A61D-656F-0BD3D4839FE0}"/>
                </a:ext>
              </a:extLst>
            </xdr:cNvPr>
            <xdr:cNvCxnSpPr>
              <a:stCxn id="97" idx="6"/>
            </xdr:cNvCxnSpPr>
          </xdr:nvCxnSpPr>
          <xdr:spPr>
            <a:xfrm flipV="1">
              <a:off x="1737360" y="3131820"/>
              <a:ext cx="777240" cy="22479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EB13C76D-49DE-7C40-73B1-40F62176EBF5}"/>
                </a:ext>
              </a:extLst>
            </xdr:cNvPr>
            <xdr:cNvCxnSpPr>
              <a:stCxn id="99" idx="6"/>
            </xdr:cNvCxnSpPr>
          </xdr:nvCxnSpPr>
          <xdr:spPr>
            <a:xfrm flipV="1">
              <a:off x="1722120" y="3901440"/>
              <a:ext cx="784860" cy="190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7ABE0E7E-EC0F-0389-1901-9EAB4BEA0FBC}"/>
                </a:ext>
              </a:extLst>
            </xdr:cNvPr>
            <xdr:cNvCxnSpPr>
              <a:stCxn id="98" idx="3"/>
            </xdr:cNvCxnSpPr>
          </xdr:nvCxnSpPr>
          <xdr:spPr>
            <a:xfrm flipH="1">
              <a:off x="358140" y="4013858"/>
              <a:ext cx="603862" cy="39050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79240445-2671-BDB1-4A0D-9B23B10B264C}"/>
              </a:ext>
            </a:extLst>
          </xdr:cNvPr>
          <xdr:cNvSpPr txBox="1"/>
        </xdr:nvSpPr>
        <xdr:spPr>
          <a:xfrm>
            <a:off x="1859280" y="2293620"/>
            <a:ext cx="891540" cy="4419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Controller</a:t>
            </a:r>
            <a:r>
              <a:rPr lang="en-US" sz="1100" b="1" baseline="0"/>
              <a:t> Propeller</a:t>
            </a:r>
            <a:endParaRPr lang="en-US" sz="1100" b="1"/>
          </a:p>
        </xdr:txBody>
      </xdr: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CF5AA759-39F7-5FEA-4B2A-93AD548CCAE5}"/>
              </a:ext>
            </a:extLst>
          </xdr:cNvPr>
          <xdr:cNvSpPr txBox="1"/>
        </xdr:nvSpPr>
        <xdr:spPr>
          <a:xfrm>
            <a:off x="982980" y="2225040"/>
            <a:ext cx="65532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Unused</a:t>
            </a:r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DFEB9595-BDAA-6D71-3030-74FE59F19178}"/>
              </a:ext>
            </a:extLst>
          </xdr:cNvPr>
          <xdr:cNvSpPr txBox="1"/>
        </xdr:nvSpPr>
        <xdr:spPr>
          <a:xfrm>
            <a:off x="2956560" y="2583180"/>
            <a:ext cx="65532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GPIO 7</a:t>
            </a: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807E1855-F6A5-C451-81D2-CCA9AD83FA73}"/>
              </a:ext>
            </a:extLst>
          </xdr:cNvPr>
          <xdr:cNvSpPr txBox="1"/>
        </xdr:nvSpPr>
        <xdr:spPr>
          <a:xfrm>
            <a:off x="3314700" y="3528060"/>
            <a:ext cx="574638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GPIO 6</a:t>
            </a:r>
          </a:p>
        </xdr:txBody>
      </xdr:sp>
      <xdr:sp macro="" textlink="">
        <xdr:nvSpPr>
          <xdr:cNvPr id="89" name="TextBox 88">
            <a:extLst>
              <a:ext uri="{FF2B5EF4-FFF2-40B4-BE49-F238E27FC236}">
                <a16:creationId xmlns:a16="http://schemas.microsoft.com/office/drawing/2014/main" id="{7E65CCE3-03C8-A42D-D82F-1FFF734D02E4}"/>
              </a:ext>
            </a:extLst>
          </xdr:cNvPr>
          <xdr:cNvSpPr txBox="1"/>
        </xdr:nvSpPr>
        <xdr:spPr>
          <a:xfrm>
            <a:off x="733761" y="3800852"/>
            <a:ext cx="45720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GND</a:t>
            </a:r>
          </a:p>
        </xdr:txBody>
      </xdr:sp>
    </xdr:grpSp>
    <xdr:clientData/>
  </xdr:twoCellAnchor>
  <xdr:twoCellAnchor>
    <xdr:from>
      <xdr:col>6</xdr:col>
      <xdr:colOff>528917</xdr:colOff>
      <xdr:row>25</xdr:row>
      <xdr:rowOff>116542</xdr:rowOff>
    </xdr:from>
    <xdr:to>
      <xdr:col>12</xdr:col>
      <xdr:colOff>295835</xdr:colOff>
      <xdr:row>36</xdr:row>
      <xdr:rowOff>70823</xdr:rowOff>
    </xdr:to>
    <xdr:grpSp>
      <xdr:nvGrpSpPr>
        <xdr:cNvPr id="101" name="Group 100">
          <a:extLst>
            <a:ext uri="{FF2B5EF4-FFF2-40B4-BE49-F238E27FC236}">
              <a16:creationId xmlns:a16="http://schemas.microsoft.com/office/drawing/2014/main" id="{89E1A135-EDCE-4B23-8458-7F5CC30835DB}"/>
            </a:ext>
          </a:extLst>
        </xdr:cNvPr>
        <xdr:cNvGrpSpPr/>
      </xdr:nvGrpSpPr>
      <xdr:grpSpPr>
        <a:xfrm>
          <a:off x="4186517" y="4598895"/>
          <a:ext cx="3424518" cy="1926516"/>
          <a:chOff x="464820" y="2225040"/>
          <a:chExt cx="3424518" cy="1965960"/>
        </a:xfrm>
      </xdr:grpSpPr>
      <xdr:grpSp>
        <xdr:nvGrpSpPr>
          <xdr:cNvPr id="102" name="Group 101">
            <a:extLst>
              <a:ext uri="{FF2B5EF4-FFF2-40B4-BE49-F238E27FC236}">
                <a16:creationId xmlns:a16="http://schemas.microsoft.com/office/drawing/2014/main" id="{F5A9182E-1294-0F04-6764-15904FEA06AA}"/>
              </a:ext>
            </a:extLst>
          </xdr:cNvPr>
          <xdr:cNvGrpSpPr/>
        </xdr:nvGrpSpPr>
        <xdr:grpSpPr>
          <a:xfrm>
            <a:off x="1127760" y="2575560"/>
            <a:ext cx="2156460" cy="1615440"/>
            <a:chOff x="358140" y="2788920"/>
            <a:chExt cx="2156460" cy="1615440"/>
          </a:xfrm>
        </xdr:grpSpPr>
        <xdr:grpSp>
          <xdr:nvGrpSpPr>
            <xdr:cNvPr id="108" name="Group 107">
              <a:extLst>
                <a:ext uri="{FF2B5EF4-FFF2-40B4-BE49-F238E27FC236}">
                  <a16:creationId xmlns:a16="http://schemas.microsoft.com/office/drawing/2014/main" id="{98024028-D17C-3943-6E81-194F2C1F455B}"/>
                </a:ext>
              </a:extLst>
            </xdr:cNvPr>
            <xdr:cNvGrpSpPr/>
          </xdr:nvGrpSpPr>
          <xdr:grpSpPr>
            <a:xfrm>
              <a:off x="716280" y="3025140"/>
              <a:ext cx="1264920" cy="1325880"/>
              <a:chOff x="1280160" y="2727960"/>
              <a:chExt cx="1264920" cy="1325880"/>
            </a:xfrm>
          </xdr:grpSpPr>
          <xdr:sp macro="" textlink="">
            <xdr:nvSpPr>
              <xdr:cNvPr id="113" name="Oval 112">
                <a:extLst>
                  <a:ext uri="{FF2B5EF4-FFF2-40B4-BE49-F238E27FC236}">
                    <a16:creationId xmlns:a16="http://schemas.microsoft.com/office/drawing/2014/main" id="{97DB28B5-685A-DE03-2363-13087F964CA2}"/>
                  </a:ext>
                </a:extLst>
              </xdr:cNvPr>
              <xdr:cNvSpPr/>
            </xdr:nvSpPr>
            <xdr:spPr>
              <a:xfrm>
                <a:off x="1280160" y="2727960"/>
                <a:ext cx="1264920" cy="1264920"/>
              </a:xfrm>
              <a:prstGeom prst="ellipse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4" name="Oval 113">
                <a:extLst>
                  <a:ext uri="{FF2B5EF4-FFF2-40B4-BE49-F238E27FC236}">
                    <a16:creationId xmlns:a16="http://schemas.microsoft.com/office/drawing/2014/main" id="{C130CAFF-54E8-7C73-323D-8B37F3E9D9AB}"/>
                  </a:ext>
                </a:extLst>
              </xdr:cNvPr>
              <xdr:cNvSpPr/>
            </xdr:nvSpPr>
            <xdr:spPr>
              <a:xfrm>
                <a:off x="1478280" y="294894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5" name="Oval 114">
                <a:extLst>
                  <a:ext uri="{FF2B5EF4-FFF2-40B4-BE49-F238E27FC236}">
                    <a16:creationId xmlns:a16="http://schemas.microsoft.com/office/drawing/2014/main" id="{B0FDA017-EC75-DB49-2A58-BF3C2C7D344B}"/>
                  </a:ext>
                </a:extLst>
              </xdr:cNvPr>
              <xdr:cNvSpPr/>
            </xdr:nvSpPr>
            <xdr:spPr>
              <a:xfrm>
                <a:off x="2080260" y="294894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6" name="Oval 115">
                <a:extLst>
                  <a:ext uri="{FF2B5EF4-FFF2-40B4-BE49-F238E27FC236}">
                    <a16:creationId xmlns:a16="http://schemas.microsoft.com/office/drawing/2014/main" id="{D97720DC-0B79-70E6-DD32-9BE76C672EB9}"/>
                  </a:ext>
                </a:extLst>
              </xdr:cNvPr>
              <xdr:cNvSpPr/>
            </xdr:nvSpPr>
            <xdr:spPr>
              <a:xfrm>
                <a:off x="1493520" y="352806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7" name="Oval 116">
                <a:extLst>
                  <a:ext uri="{FF2B5EF4-FFF2-40B4-BE49-F238E27FC236}">
                    <a16:creationId xmlns:a16="http://schemas.microsoft.com/office/drawing/2014/main" id="{13778A39-6C12-6D02-CF8D-EA2001D9325D}"/>
                  </a:ext>
                </a:extLst>
              </xdr:cNvPr>
              <xdr:cNvSpPr/>
            </xdr:nvSpPr>
            <xdr:spPr>
              <a:xfrm>
                <a:off x="2065020" y="3512820"/>
                <a:ext cx="220980" cy="22098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8" name="Chord 117">
                <a:extLst>
                  <a:ext uri="{FF2B5EF4-FFF2-40B4-BE49-F238E27FC236}">
                    <a16:creationId xmlns:a16="http://schemas.microsoft.com/office/drawing/2014/main" id="{CD34B5A6-90D7-5D76-0338-11C09042CC4E}"/>
                  </a:ext>
                </a:extLst>
              </xdr:cNvPr>
              <xdr:cNvSpPr/>
            </xdr:nvSpPr>
            <xdr:spPr>
              <a:xfrm rot="6842570">
                <a:off x="1798320" y="3825240"/>
                <a:ext cx="228600" cy="228600"/>
              </a:xfrm>
              <a:prstGeom prst="chord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cxnSp macro="">
          <xdr:nvCxnSpPr>
            <xdr:cNvPr id="109" name="Straight Arrow Connector 108">
              <a:extLst>
                <a:ext uri="{FF2B5EF4-FFF2-40B4-BE49-F238E27FC236}">
                  <a16:creationId xmlns:a16="http://schemas.microsoft.com/office/drawing/2014/main" id="{B5EF1217-DAD0-5F31-DE4A-753734C78517}"/>
                </a:ext>
              </a:extLst>
            </xdr:cNvPr>
            <xdr:cNvCxnSpPr>
              <a:stCxn id="114" idx="7"/>
            </xdr:cNvCxnSpPr>
          </xdr:nvCxnSpPr>
          <xdr:spPr>
            <a:xfrm flipH="1" flipV="1">
              <a:off x="678180" y="2788920"/>
              <a:ext cx="424838" cy="48956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" name="Straight Arrow Connector 109">
              <a:extLst>
                <a:ext uri="{FF2B5EF4-FFF2-40B4-BE49-F238E27FC236}">
                  <a16:creationId xmlns:a16="http://schemas.microsoft.com/office/drawing/2014/main" id="{203CBDF7-6317-1E2D-BB37-7714AFD34407}"/>
                </a:ext>
              </a:extLst>
            </xdr:cNvPr>
            <xdr:cNvCxnSpPr>
              <a:stCxn id="115" idx="6"/>
            </xdr:cNvCxnSpPr>
          </xdr:nvCxnSpPr>
          <xdr:spPr>
            <a:xfrm flipV="1">
              <a:off x="1737360" y="3131820"/>
              <a:ext cx="777240" cy="22479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1" name="Straight Arrow Connector 110">
              <a:extLst>
                <a:ext uri="{FF2B5EF4-FFF2-40B4-BE49-F238E27FC236}">
                  <a16:creationId xmlns:a16="http://schemas.microsoft.com/office/drawing/2014/main" id="{CA59B6B2-0D03-B263-1369-83AF8391AC1E}"/>
                </a:ext>
              </a:extLst>
            </xdr:cNvPr>
            <xdr:cNvCxnSpPr>
              <a:stCxn id="117" idx="6"/>
            </xdr:cNvCxnSpPr>
          </xdr:nvCxnSpPr>
          <xdr:spPr>
            <a:xfrm flipV="1">
              <a:off x="1722120" y="3901440"/>
              <a:ext cx="784860" cy="190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2" name="Straight Arrow Connector 111">
              <a:extLst>
                <a:ext uri="{FF2B5EF4-FFF2-40B4-BE49-F238E27FC236}">
                  <a16:creationId xmlns:a16="http://schemas.microsoft.com/office/drawing/2014/main" id="{AB352C17-7D4F-7C88-A061-1DD7C0B3B314}"/>
                </a:ext>
              </a:extLst>
            </xdr:cNvPr>
            <xdr:cNvCxnSpPr>
              <a:stCxn id="116" idx="3"/>
            </xdr:cNvCxnSpPr>
          </xdr:nvCxnSpPr>
          <xdr:spPr>
            <a:xfrm flipH="1">
              <a:off x="358140" y="4013858"/>
              <a:ext cx="603862" cy="39050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D23266F8-E555-EF78-61A6-595D151E9E29}"/>
              </a:ext>
            </a:extLst>
          </xdr:cNvPr>
          <xdr:cNvSpPr txBox="1"/>
        </xdr:nvSpPr>
        <xdr:spPr>
          <a:xfrm>
            <a:off x="1859280" y="2293620"/>
            <a:ext cx="891540" cy="4419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Servo Rudder</a:t>
            </a: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3AB6ED7C-91DF-F12E-386B-2A8401D4721E}"/>
              </a:ext>
            </a:extLst>
          </xdr:cNvPr>
          <xdr:cNvSpPr txBox="1"/>
        </xdr:nvSpPr>
        <xdr:spPr>
          <a:xfrm>
            <a:off x="982980" y="2225040"/>
            <a:ext cx="65532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GPIO 3</a:t>
            </a:r>
          </a:p>
        </xdr:txBody>
      </xdr: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B63353D1-9A9A-5225-CB63-6EE5121A28C0}"/>
              </a:ext>
            </a:extLst>
          </xdr:cNvPr>
          <xdr:cNvSpPr txBox="1"/>
        </xdr:nvSpPr>
        <xdr:spPr>
          <a:xfrm>
            <a:off x="2956560" y="2583180"/>
            <a:ext cx="484543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GND</a:t>
            </a:r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FDBACA07-6B50-86F3-8E3B-F2DA9BC5836E}"/>
              </a:ext>
            </a:extLst>
          </xdr:cNvPr>
          <xdr:cNvSpPr txBox="1"/>
        </xdr:nvSpPr>
        <xdr:spPr>
          <a:xfrm>
            <a:off x="3314700" y="3528060"/>
            <a:ext cx="574638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GPIO 5</a:t>
            </a:r>
          </a:p>
        </xdr:txBody>
      </xdr: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0C75A63B-AF8A-0739-2AEF-23BCE413663F}"/>
              </a:ext>
            </a:extLst>
          </xdr:cNvPr>
          <xdr:cNvSpPr txBox="1"/>
        </xdr:nvSpPr>
        <xdr:spPr>
          <a:xfrm>
            <a:off x="464820" y="3810000"/>
            <a:ext cx="632460" cy="2971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GPIO 8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49530</xdr:rowOff>
    </xdr:from>
    <xdr:to>
      <xdr:col>16</xdr:col>
      <xdr:colOff>381000</xdr:colOff>
      <xdr:row>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ED82C-2CDC-8B80-9160-114D5BDBE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304800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15485F-01D2-4D19-8CCF-1C79C2F65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106680</xdr:colOff>
      <xdr:row>5</xdr:row>
      <xdr:rowOff>125730</xdr:rowOff>
    </xdr:from>
    <xdr:to>
      <xdr:col>17</xdr:col>
      <xdr:colOff>411480</xdr:colOff>
      <xdr:row>20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5C161-9690-CB61-04FF-4C9A4F9BE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93345</xdr:colOff>
      <xdr:row>2</xdr:row>
      <xdr:rowOff>161925</xdr:rowOff>
    </xdr:from>
    <xdr:to>
      <xdr:col>14</xdr:col>
      <xdr:colOff>398145</xdr:colOff>
      <xdr:row>17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044755-7F43-48EE-87B7-C78833B40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CFE389-409A-4243-AA2F-770BD2A3B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2</xdr:row>
      <xdr:rowOff>148590</xdr:rowOff>
    </xdr:from>
    <xdr:to>
      <xdr:col>14</xdr:col>
      <xdr:colOff>182880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F86720-2F8C-3722-3E20-D9DDEB4ED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541020</xdr:colOff>
      <xdr:row>18</xdr:row>
      <xdr:rowOff>152400</xdr:rowOff>
    </xdr:from>
    <xdr:to>
      <xdr:col>14</xdr:col>
      <xdr:colOff>236220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EC1EEA-93B2-4D65-8FE7-161D88973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heck%20rudder.xlsx" TargetMode="External"/><Relationship Id="rId2" Type="http://schemas.openxmlformats.org/officeDocument/2006/relationships/externalLinkPath" Target="file:///D:\check%20rudder.xlsx" TargetMode="External"/><Relationship Id="rId1" Type="http://schemas.openxmlformats.org/officeDocument/2006/relationships/externalLinkPath" Target="/check%20rud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3">
          <cell r="E3" t="str">
            <v>terukur- zero</v>
          </cell>
        </row>
        <row r="4">
          <cell r="C4">
            <v>0</v>
          </cell>
          <cell r="E4">
            <v>0</v>
          </cell>
        </row>
        <row r="5">
          <cell r="C5">
            <v>40</v>
          </cell>
          <cell r="E5">
            <v>39.407846573390003</v>
          </cell>
        </row>
        <row r="6">
          <cell r="C6">
            <v>-40</v>
          </cell>
          <cell r="E6">
            <v>-40.357708490509999</v>
          </cell>
        </row>
        <row r="7">
          <cell r="C7">
            <v>35</v>
          </cell>
          <cell r="E7">
            <v>34.530518904590004</v>
          </cell>
        </row>
        <row r="8">
          <cell r="C8">
            <v>-35</v>
          </cell>
          <cell r="E8">
            <v>-35.315824220309999</v>
          </cell>
        </row>
        <row r="9">
          <cell r="C9">
            <v>-20</v>
          </cell>
          <cell r="E9">
            <v>-19.813774914610001</v>
          </cell>
        </row>
        <row r="10">
          <cell r="C10">
            <v>-10</v>
          </cell>
          <cell r="E10">
            <v>-9.66666666331</v>
          </cell>
        </row>
        <row r="15">
          <cell r="C15">
            <v>0</v>
          </cell>
          <cell r="E15">
            <v>0</v>
          </cell>
        </row>
        <row r="16">
          <cell r="C16">
            <v>40</v>
          </cell>
          <cell r="E16">
            <v>40.193108929299996</v>
          </cell>
        </row>
        <row r="17">
          <cell r="C17">
            <v>-40</v>
          </cell>
          <cell r="E17">
            <v>-39.886008565200001</v>
          </cell>
        </row>
        <row r="18">
          <cell r="C18">
            <v>35</v>
          </cell>
          <cell r="E18">
            <v>35.233673655299995</v>
          </cell>
        </row>
        <row r="19">
          <cell r="C19">
            <v>-35</v>
          </cell>
          <cell r="E19">
            <v>-34.641291144100002</v>
          </cell>
        </row>
        <row r="20">
          <cell r="C20">
            <v>-20</v>
          </cell>
          <cell r="E20">
            <v>-19.683492138999998</v>
          </cell>
        </row>
        <row r="21">
          <cell r="C21">
            <v>-10</v>
          </cell>
          <cell r="E21">
            <v>-9.3602242409999992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kopedia.com/eltech-online/4-4p-p-pin-12mm-panel-male-to-cable-female-aviation-konektor-pesawat" TargetMode="External"/><Relationship Id="rId13" Type="http://schemas.openxmlformats.org/officeDocument/2006/relationships/hyperlink" Target="https://www.tokopedia.com/archive-omlemon/box-x1-hitam-box-ampli-amplifier-audio-tanpa-lubang-1731068235225532283" TargetMode="External"/><Relationship Id="rId18" Type="http://schemas.openxmlformats.org/officeDocument/2006/relationships/hyperlink" Target="https://www.tokopedia.com/innovtronic/jack-bnc-buntut-ver-besi-silver-1730750981881889940" TargetMode="External"/><Relationship Id="rId26" Type="http://schemas.openxmlformats.org/officeDocument/2006/relationships/hyperlink" Target="https://www.tokopedia.com/grosirdompetmotifte/new-microzone-mc8b-mini-2-4g-8ch-remote-controller-transmitter-radio-mc8re-v2-receiver-for-fpv-rc-fixed-wing-drone-car-boat-1731915813345068541" TargetMode="External"/><Relationship Id="rId3" Type="http://schemas.openxmlformats.org/officeDocument/2006/relationships/hyperlink" Target="https://www.sparkfun.com/products/15192" TargetMode="External"/><Relationship Id="rId21" Type="http://schemas.openxmlformats.org/officeDocument/2006/relationships/hyperlink" Target="https://www.tokopedia.com/archive-omlemon/konektor-wago-paralel-blok-connector-block-1729568380092187815" TargetMode="External"/><Relationship Id="rId7" Type="http://schemas.openxmlformats.org/officeDocument/2006/relationships/hyperlink" Target="https://www.tokopedia.com/hwthinker/terminal-screw-block-shield-expansion-board-44pin-for-esp32s3-esp32-s3-devkitc-1-terminal-screw-2196e" TargetMode="External"/><Relationship Id="rId12" Type="http://schemas.openxmlformats.org/officeDocument/2006/relationships/hyperlink" Target="https://www.tokopedia.com/hwthinker/kabel-data-usb-type-c-typec-pendek-25-cm" TargetMode="External"/><Relationship Id="rId17" Type="http://schemas.openxmlformats.org/officeDocument/2006/relationships/hyperlink" Target="https://www.tokopedia.com/innovtronic/panel-mount-bnc-socket?" TargetMode="External"/><Relationship Id="rId25" Type="http://schemas.openxmlformats.org/officeDocument/2006/relationships/hyperlink" Target="https://www.tokopedia.com/suryaecomm/sandisk-microsd-32gb-ultra-120mb-s-micro-sd-sdxc-card-a1-uhs-1" TargetMode="External"/><Relationship Id="rId2" Type="http://schemas.openxmlformats.org/officeDocument/2006/relationships/hyperlink" Target="https://www.sparkfun.com/products/16481" TargetMode="External"/><Relationship Id="rId16" Type="http://schemas.openxmlformats.org/officeDocument/2006/relationships/hyperlink" Target="https://www.tokopedia.com/archive-omlemon/switch-push-button-saklar-on-2-pin-bulat-3a-125v-1-5a-250v-ds-427-1729570390528853159" TargetMode="External"/><Relationship Id="rId20" Type="http://schemas.openxmlformats.org/officeDocument/2006/relationships/hyperlink" Target="https://www.tokopedia.com/nasrula/xt60-lipo-battery-connector?" TargetMode="External"/><Relationship Id="rId1" Type="http://schemas.openxmlformats.org/officeDocument/2006/relationships/hyperlink" Target="https://www.tokopedia.com/beetrona/teensy-4-1-arm-cortex-m7-600mhz-development-board-arduino-soldered-header" TargetMode="External"/><Relationship Id="rId6" Type="http://schemas.openxmlformats.org/officeDocument/2006/relationships/hyperlink" Target="https://www.tokopedia.com/akhishop/photoelectric-rotary-encoder-with-plate" TargetMode="External"/><Relationship Id="rId11" Type="http://schemas.openxmlformats.org/officeDocument/2006/relationships/hyperlink" Target="https://www.tokopedia.com/aifrobotic/super-step-down-xy-3606-dc-dc-buck-converter-module-9-36v-to-5v-5a" TargetMode="External"/><Relationship Id="rId24" Type="http://schemas.openxmlformats.org/officeDocument/2006/relationships/hyperlink" Target="https://www.tokopedia.com/hexhobby/witmotion-military-grade-inclinometer-hwt905-high-precision-inclinometer-industria-grade-accelerometer-digital-compass-gyro-with-temperature-magnetometer-compensation-hwt905-ttl-0215a?" TargetMode="External"/><Relationship Id="rId5" Type="http://schemas.openxmlformats.org/officeDocument/2006/relationships/hyperlink" Target="https://www.tokopedia.com/akhishop/esp32-s3-devkitc-1-n8r2-n16r8-wifi-bluetooth-dev-board-1731749591138010470" TargetMode="External"/><Relationship Id="rId15" Type="http://schemas.openxmlformats.org/officeDocument/2006/relationships/hyperlink" Target="https://www.tokopedia.com/buayaaerotech/500mw-915mhz-3dr-radio-telemetry-air-ground-module-for-mwc-apm-pixhawk" TargetMode="External"/><Relationship Id="rId23" Type="http://schemas.openxmlformats.org/officeDocument/2006/relationships/hyperlink" Target="https://www.tokopedia.com/archive-omlemon/pelindung-kabel-sleeve-per-1-meter-pembungkus-kabel-braided-wire-cable-1732723500185519271" TargetMode="External"/><Relationship Id="rId28" Type="http://schemas.openxmlformats.org/officeDocument/2006/relationships/hyperlink" Target="https://www.tokopedia.com/mitra-abadi-official/step-down-12a-1-25-30v-buck-converter-penurun-tegangan?" TargetMode="External"/><Relationship Id="rId10" Type="http://schemas.openxmlformats.org/officeDocument/2006/relationships/hyperlink" Target="https://www.tokopedia.com/akhishop/dc-dc-mini560-5a-dc-stepdown-regulated-power-supply-module-5v" TargetMode="External"/><Relationship Id="rId19" Type="http://schemas.openxmlformats.org/officeDocument/2006/relationships/hyperlink" Target="https://www.tokopedia.com/eltech-online/rocker-power-switch-kcd-2pin-3pin-4pin-2way-3way-spst-spdt-dpdt-tombol-saklar-roker-on-off-square-round-mini-slim-kecil-kotak-bulat-oval-lonjong-gepeng-black-hitam-lampu-lamp-light-led-red-green-merah-hijau-2p-3p-4p-2-3-4-pin-kaki-arah-way-posisi-position-1732639109233476842?" TargetMode="External"/><Relationship Id="rId4" Type="http://schemas.openxmlformats.org/officeDocument/2006/relationships/hyperlink" Target="https://www.tokopedia.com/akhishop/gps-gy-ublox-neo-7m-with-antenna-1729808859979613542" TargetMode="External"/><Relationship Id="rId9" Type="http://schemas.openxmlformats.org/officeDocument/2006/relationships/hyperlink" Target="https://www.tokopedia.com/akhishop/voltage-sensor-dc-voltage-divider-1729798292921353574" TargetMode="External"/><Relationship Id="rId14" Type="http://schemas.openxmlformats.org/officeDocument/2006/relationships/hyperlink" Target="https://www.tokopedia.com/archive-omlemon/a290-box-x5-bok-audio-hitam-plastik-ampli?" TargetMode="External"/><Relationship Id="rId22" Type="http://schemas.openxmlformats.org/officeDocument/2006/relationships/hyperlink" Target="https://www.tokopedia.com/archive-omlemon/konektor-wago-paralel-blok-connector-block-1729568380092253351" TargetMode="External"/><Relationship Id="rId27" Type="http://schemas.openxmlformats.org/officeDocument/2006/relationships/hyperlink" Target="https://www.tokopedia.com/archive-omlemon/box-x2-plasti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>
      <selection activeCell="C15" sqref="C15"/>
    </sheetView>
  </sheetViews>
  <sheetFormatPr defaultRowHeight="14.4" x14ac:dyDescent="0.3"/>
  <cols>
    <col min="2" max="2" width="28.6640625" bestFit="1" customWidth="1"/>
    <col min="3" max="3" width="15.6640625" bestFit="1" customWidth="1"/>
    <col min="4" max="4" width="9.33203125" bestFit="1" customWidth="1"/>
  </cols>
  <sheetData>
    <row r="2" spans="2:4" x14ac:dyDescent="0.3">
      <c r="B2" s="3" t="s">
        <v>7</v>
      </c>
      <c r="C2" s="3" t="s">
        <v>8</v>
      </c>
      <c r="D2" s="3" t="s">
        <v>9</v>
      </c>
    </row>
    <row r="3" spans="2:4" x14ac:dyDescent="0.3">
      <c r="B3" s="3" t="s">
        <v>2</v>
      </c>
      <c r="C3" s="3" t="s">
        <v>5</v>
      </c>
      <c r="D3" s="3" t="s">
        <v>1</v>
      </c>
    </row>
    <row r="4" spans="2:4" x14ac:dyDescent="0.3">
      <c r="B4" s="3" t="s">
        <v>3</v>
      </c>
      <c r="C4" s="3" t="s">
        <v>4</v>
      </c>
      <c r="D4" s="3" t="s">
        <v>6</v>
      </c>
    </row>
    <row r="6" spans="2:4" x14ac:dyDescent="0.3">
      <c r="B6" s="3" t="s">
        <v>84</v>
      </c>
      <c r="C6" s="3" t="s">
        <v>85</v>
      </c>
    </row>
    <row r="7" spans="2:4" x14ac:dyDescent="0.3">
      <c r="B7" s="3" t="s">
        <v>83</v>
      </c>
      <c r="C7" s="8" t="s">
        <v>86</v>
      </c>
    </row>
    <row r="8" spans="2:4" x14ac:dyDescent="0.3">
      <c r="B8" s="3" t="s">
        <v>87</v>
      </c>
      <c r="C8" s="8" t="s">
        <v>88</v>
      </c>
    </row>
    <row r="9" spans="2:4" x14ac:dyDescent="0.3">
      <c r="B9" s="3" t="s">
        <v>91</v>
      </c>
      <c r="C9" s="3" t="s">
        <v>92</v>
      </c>
    </row>
    <row r="10" spans="2:4" x14ac:dyDescent="0.3">
      <c r="B10" s="3" t="s">
        <v>242</v>
      </c>
      <c r="C10" s="14" t="s">
        <v>243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7FC3-B68F-45CC-BE47-839D7EE97D3D}">
  <dimension ref="B2:H47"/>
  <sheetViews>
    <sheetView topLeftCell="B27" zoomScale="85" zoomScaleNormal="85" workbookViewId="0">
      <selection activeCell="D51" sqref="D51"/>
    </sheetView>
  </sheetViews>
  <sheetFormatPr defaultColWidth="8.88671875" defaultRowHeight="14.4" x14ac:dyDescent="0.3"/>
  <cols>
    <col min="1" max="2" width="8.88671875" style="1"/>
    <col min="3" max="3" width="53.88671875" style="1" bestFit="1" customWidth="1"/>
    <col min="4" max="4" width="8.88671875" style="1"/>
    <col min="5" max="5" width="17.21875" style="1" bestFit="1" customWidth="1"/>
    <col min="6" max="6" width="15.33203125" style="1" customWidth="1"/>
    <col min="7" max="7" width="74.6640625" style="1" bestFit="1" customWidth="1"/>
    <col min="8" max="8" width="177.109375" style="1" bestFit="1" customWidth="1"/>
    <col min="9" max="16384" width="8.88671875" style="1"/>
  </cols>
  <sheetData>
    <row r="2" spans="2:8" x14ac:dyDescent="0.3">
      <c r="B2" s="9" t="s">
        <v>114</v>
      </c>
      <c r="C2" s="9" t="s">
        <v>109</v>
      </c>
      <c r="D2" s="9" t="s">
        <v>110</v>
      </c>
      <c r="E2" s="9" t="s">
        <v>111</v>
      </c>
      <c r="F2" s="9" t="s">
        <v>112</v>
      </c>
      <c r="G2" s="9" t="s">
        <v>35</v>
      </c>
      <c r="H2" s="9" t="s">
        <v>113</v>
      </c>
    </row>
    <row r="3" spans="2:8" x14ac:dyDescent="0.3">
      <c r="B3" s="3">
        <v>1</v>
      </c>
      <c r="C3" s="3" t="s">
        <v>115</v>
      </c>
      <c r="D3" s="3">
        <v>1</v>
      </c>
      <c r="E3" s="3" t="s">
        <v>24</v>
      </c>
      <c r="F3" s="3" t="s">
        <v>24</v>
      </c>
      <c r="G3" s="3" t="s">
        <v>118</v>
      </c>
      <c r="H3" s="3" t="s">
        <v>24</v>
      </c>
    </row>
    <row r="4" spans="2:8" x14ac:dyDescent="0.3">
      <c r="B4" s="3">
        <v>2</v>
      </c>
      <c r="C4" s="3" t="s">
        <v>116</v>
      </c>
      <c r="D4" s="3">
        <v>1</v>
      </c>
      <c r="E4" s="3" t="s">
        <v>24</v>
      </c>
      <c r="F4" s="3" t="s">
        <v>24</v>
      </c>
      <c r="G4" s="3" t="s">
        <v>117</v>
      </c>
      <c r="H4" s="3" t="s">
        <v>24</v>
      </c>
    </row>
    <row r="5" spans="2:8" x14ac:dyDescent="0.3">
      <c r="B5" s="3">
        <v>3</v>
      </c>
      <c r="C5" s="3" t="s">
        <v>122</v>
      </c>
      <c r="D5" s="3">
        <v>2</v>
      </c>
      <c r="E5" s="3" t="s">
        <v>24</v>
      </c>
      <c r="F5" s="3" t="s">
        <v>24</v>
      </c>
      <c r="G5" s="3" t="s">
        <v>117</v>
      </c>
      <c r="H5" s="3" t="s">
        <v>24</v>
      </c>
    </row>
    <row r="6" spans="2:8" x14ac:dyDescent="0.3">
      <c r="B6" s="3">
        <v>4</v>
      </c>
      <c r="C6" s="3" t="s">
        <v>124</v>
      </c>
      <c r="D6" s="3">
        <v>2</v>
      </c>
      <c r="E6" s="3" t="s">
        <v>24</v>
      </c>
      <c r="F6" s="3" t="s">
        <v>24</v>
      </c>
      <c r="G6" s="3" t="s">
        <v>125</v>
      </c>
      <c r="H6" s="3" t="s">
        <v>24</v>
      </c>
    </row>
    <row r="7" spans="2:8" x14ac:dyDescent="0.3">
      <c r="B7" s="3">
        <v>5</v>
      </c>
      <c r="C7" s="3" t="s">
        <v>127</v>
      </c>
      <c r="D7" s="3">
        <v>2</v>
      </c>
      <c r="E7" s="3" t="s">
        <v>24</v>
      </c>
      <c r="F7" s="3" t="s">
        <v>24</v>
      </c>
      <c r="G7" s="3" t="s">
        <v>128</v>
      </c>
      <c r="H7" s="3" t="s">
        <v>24</v>
      </c>
    </row>
    <row r="8" spans="2:8" x14ac:dyDescent="0.3">
      <c r="B8" s="3">
        <v>6</v>
      </c>
      <c r="C8" s="3" t="s">
        <v>126</v>
      </c>
      <c r="D8" s="3">
        <v>2</v>
      </c>
      <c r="E8" s="3" t="s">
        <v>24</v>
      </c>
      <c r="F8" s="3" t="s">
        <v>24</v>
      </c>
      <c r="G8" s="3" t="s">
        <v>129</v>
      </c>
      <c r="H8" s="3" t="s">
        <v>24</v>
      </c>
    </row>
    <row r="9" spans="2:8" x14ac:dyDescent="0.3">
      <c r="B9" s="3">
        <v>7</v>
      </c>
      <c r="C9" s="3" t="s">
        <v>119</v>
      </c>
      <c r="D9" s="3">
        <v>2</v>
      </c>
      <c r="E9" s="3">
        <v>110000</v>
      </c>
      <c r="F9" s="3">
        <f>D9*E9</f>
        <v>220000</v>
      </c>
      <c r="G9" s="3" t="s">
        <v>153</v>
      </c>
      <c r="H9" s="10" t="s">
        <v>163</v>
      </c>
    </row>
    <row r="10" spans="2:8" x14ac:dyDescent="0.3">
      <c r="B10" s="3">
        <v>8</v>
      </c>
      <c r="C10" s="3" t="s">
        <v>123</v>
      </c>
      <c r="D10" s="3">
        <v>1</v>
      </c>
      <c r="E10" s="3">
        <v>40000</v>
      </c>
      <c r="F10" s="3">
        <f t="shared" ref="F10:F29" si="0">D10*E10</f>
        <v>40000</v>
      </c>
      <c r="G10" s="3" t="s">
        <v>167</v>
      </c>
      <c r="H10" s="10" t="s">
        <v>166</v>
      </c>
    </row>
    <row r="11" spans="2:8" x14ac:dyDescent="0.3">
      <c r="B11" s="3">
        <v>9</v>
      </c>
      <c r="C11" s="3" t="s">
        <v>120</v>
      </c>
      <c r="D11" s="3">
        <v>1</v>
      </c>
      <c r="E11" s="3">
        <v>90000</v>
      </c>
      <c r="F11" s="3">
        <f t="shared" si="0"/>
        <v>90000</v>
      </c>
      <c r="G11" s="3" t="s">
        <v>157</v>
      </c>
      <c r="H11" s="10" t="s">
        <v>162</v>
      </c>
    </row>
    <row r="12" spans="2:8" ht="28.8" x14ac:dyDescent="0.3">
      <c r="B12" s="2">
        <v>10</v>
      </c>
      <c r="C12" s="2" t="s">
        <v>121</v>
      </c>
      <c r="D12" s="2">
        <v>1</v>
      </c>
      <c r="E12" s="2">
        <v>4615000</v>
      </c>
      <c r="F12" s="2">
        <f t="shared" si="0"/>
        <v>4615000</v>
      </c>
      <c r="G12" s="2" t="s">
        <v>208</v>
      </c>
      <c r="H12" s="12" t="s">
        <v>207</v>
      </c>
    </row>
    <row r="13" spans="2:8" x14ac:dyDescent="0.3">
      <c r="B13" s="3">
        <v>11</v>
      </c>
      <c r="C13" s="3" t="s">
        <v>130</v>
      </c>
      <c r="D13" s="3">
        <v>3</v>
      </c>
      <c r="E13" s="3">
        <v>9000</v>
      </c>
      <c r="F13" s="3">
        <f t="shared" si="0"/>
        <v>27000</v>
      </c>
      <c r="G13" s="3" t="s">
        <v>201</v>
      </c>
      <c r="H13" s="10" t="s">
        <v>203</v>
      </c>
    </row>
    <row r="14" spans="2:8" x14ac:dyDescent="0.3">
      <c r="B14" s="3">
        <v>12</v>
      </c>
      <c r="C14" s="3" t="s">
        <v>131</v>
      </c>
      <c r="D14" s="3">
        <v>3</v>
      </c>
      <c r="E14" s="3">
        <v>3500</v>
      </c>
      <c r="F14" s="3">
        <f t="shared" si="0"/>
        <v>10500</v>
      </c>
      <c r="G14" s="3" t="s">
        <v>202</v>
      </c>
      <c r="H14" s="10" t="s">
        <v>204</v>
      </c>
    </row>
    <row r="15" spans="2:8" x14ac:dyDescent="0.3">
      <c r="B15" s="3">
        <v>14</v>
      </c>
      <c r="C15" s="3" t="s">
        <v>198</v>
      </c>
      <c r="D15" s="3">
        <v>2</v>
      </c>
      <c r="E15" s="3">
        <v>11000</v>
      </c>
      <c r="F15" s="3">
        <f t="shared" si="0"/>
        <v>22000</v>
      </c>
      <c r="G15" s="3" t="s">
        <v>199</v>
      </c>
      <c r="H15" s="10" t="s">
        <v>200</v>
      </c>
    </row>
    <row r="16" spans="2:8" x14ac:dyDescent="0.3">
      <c r="B16" s="3">
        <v>16</v>
      </c>
      <c r="C16" s="3" t="s">
        <v>132</v>
      </c>
      <c r="D16" s="3">
        <v>1</v>
      </c>
      <c r="E16" s="3">
        <v>9500</v>
      </c>
      <c r="F16" s="3">
        <f t="shared" si="0"/>
        <v>9500</v>
      </c>
      <c r="G16" s="3" t="s">
        <v>196</v>
      </c>
      <c r="H16" s="10" t="s">
        <v>197</v>
      </c>
    </row>
    <row r="17" spans="2:8" ht="27.6" customHeight="1" x14ac:dyDescent="0.3">
      <c r="B17" s="2">
        <v>17</v>
      </c>
      <c r="C17" s="2" t="s">
        <v>133</v>
      </c>
      <c r="D17" s="2">
        <v>1</v>
      </c>
      <c r="E17" s="2">
        <v>3200</v>
      </c>
      <c r="F17" s="2">
        <f t="shared" si="0"/>
        <v>3200</v>
      </c>
      <c r="G17" s="2" t="s">
        <v>195</v>
      </c>
      <c r="H17" s="12" t="s">
        <v>194</v>
      </c>
    </row>
    <row r="18" spans="2:8" x14ac:dyDescent="0.3">
      <c r="B18" s="3">
        <v>18</v>
      </c>
      <c r="C18" s="3" t="s">
        <v>134</v>
      </c>
      <c r="D18" s="3">
        <v>3</v>
      </c>
      <c r="E18" s="3">
        <v>2600</v>
      </c>
      <c r="F18" s="3">
        <f t="shared" si="0"/>
        <v>7800</v>
      </c>
      <c r="G18" s="3" t="s">
        <v>193</v>
      </c>
      <c r="H18" s="10" t="s">
        <v>192</v>
      </c>
    </row>
    <row r="19" spans="2:8" x14ac:dyDescent="0.3">
      <c r="B19" s="3">
        <v>19</v>
      </c>
      <c r="C19" s="3" t="s">
        <v>136</v>
      </c>
      <c r="D19" s="3">
        <v>3</v>
      </c>
      <c r="E19" s="3">
        <v>4000</v>
      </c>
      <c r="F19" s="3">
        <f t="shared" si="0"/>
        <v>12000</v>
      </c>
      <c r="G19" s="3" t="s">
        <v>191</v>
      </c>
      <c r="H19" s="10" t="s">
        <v>190</v>
      </c>
    </row>
    <row r="20" spans="2:8" x14ac:dyDescent="0.3">
      <c r="B20" s="3">
        <v>20</v>
      </c>
      <c r="C20" s="3" t="s">
        <v>135</v>
      </c>
      <c r="D20" s="3">
        <v>5</v>
      </c>
      <c r="E20" s="3">
        <v>15000</v>
      </c>
      <c r="F20" s="3">
        <f t="shared" si="0"/>
        <v>75000</v>
      </c>
      <c r="G20" s="3" t="s">
        <v>169</v>
      </c>
      <c r="H20" s="10" t="s">
        <v>168</v>
      </c>
    </row>
    <row r="21" spans="2:8" x14ac:dyDescent="0.3">
      <c r="B21" s="3">
        <v>21</v>
      </c>
      <c r="C21" s="3" t="s">
        <v>137</v>
      </c>
      <c r="D21" s="3">
        <v>5</v>
      </c>
      <c r="E21" s="3">
        <v>1800</v>
      </c>
      <c r="F21" s="3">
        <f t="shared" si="0"/>
        <v>9000</v>
      </c>
      <c r="G21" s="3" t="s">
        <v>188</v>
      </c>
      <c r="H21" s="10" t="s">
        <v>189</v>
      </c>
    </row>
    <row r="22" spans="2:8" x14ac:dyDescent="0.3">
      <c r="B22" s="3">
        <v>22</v>
      </c>
      <c r="C22" s="3" t="s">
        <v>138</v>
      </c>
      <c r="D22" s="3">
        <v>2</v>
      </c>
      <c r="E22" s="3">
        <v>4000</v>
      </c>
      <c r="F22" s="3">
        <f t="shared" si="0"/>
        <v>8000</v>
      </c>
      <c r="G22" s="3" t="s">
        <v>185</v>
      </c>
      <c r="H22" s="10" t="s">
        <v>170</v>
      </c>
    </row>
    <row r="23" spans="2:8" x14ac:dyDescent="0.3">
      <c r="B23" s="3">
        <v>23</v>
      </c>
      <c r="C23" s="3" t="s">
        <v>139</v>
      </c>
      <c r="D23" s="3">
        <v>1</v>
      </c>
      <c r="E23" s="3">
        <v>28000</v>
      </c>
      <c r="F23" s="3">
        <f t="shared" si="0"/>
        <v>28000</v>
      </c>
      <c r="G23" s="3" t="s">
        <v>187</v>
      </c>
      <c r="H23" s="10" t="s">
        <v>172</v>
      </c>
    </row>
    <row r="24" spans="2:8" x14ac:dyDescent="0.3">
      <c r="B24" s="3">
        <v>24</v>
      </c>
      <c r="C24" s="3" t="s">
        <v>140</v>
      </c>
      <c r="D24" s="3">
        <v>1</v>
      </c>
      <c r="E24" s="3">
        <v>12000</v>
      </c>
      <c r="F24" s="3">
        <f t="shared" si="0"/>
        <v>12000</v>
      </c>
      <c r="G24" s="3" t="s">
        <v>186</v>
      </c>
      <c r="H24" s="10" t="s">
        <v>171</v>
      </c>
    </row>
    <row r="25" spans="2:8" x14ac:dyDescent="0.3">
      <c r="B25" s="3">
        <v>25</v>
      </c>
      <c r="C25" s="3" t="s">
        <v>141</v>
      </c>
      <c r="D25" s="3">
        <v>1</v>
      </c>
      <c r="E25" s="3">
        <v>13000</v>
      </c>
      <c r="F25" s="3">
        <f t="shared" si="0"/>
        <v>13000</v>
      </c>
      <c r="G25" s="3" t="s">
        <v>173</v>
      </c>
      <c r="H25" s="10" t="s">
        <v>174</v>
      </c>
    </row>
    <row r="26" spans="2:8" x14ac:dyDescent="0.3">
      <c r="B26" s="3">
        <v>26</v>
      </c>
      <c r="C26" s="3" t="s">
        <v>142</v>
      </c>
      <c r="D26" s="3">
        <v>1</v>
      </c>
      <c r="E26" s="3">
        <v>10700</v>
      </c>
      <c r="F26" s="3">
        <f t="shared" si="0"/>
        <v>10700</v>
      </c>
      <c r="G26" s="3" t="s">
        <v>180</v>
      </c>
      <c r="H26" s="10" t="s">
        <v>181</v>
      </c>
    </row>
    <row r="27" spans="2:8" x14ac:dyDescent="0.3">
      <c r="B27" s="3">
        <v>27</v>
      </c>
      <c r="C27" s="3" t="s">
        <v>177</v>
      </c>
      <c r="D27" s="3">
        <v>1</v>
      </c>
      <c r="E27" s="3">
        <v>2000</v>
      </c>
      <c r="F27" s="3">
        <f t="shared" si="0"/>
        <v>2000</v>
      </c>
      <c r="G27" s="3" t="s">
        <v>179</v>
      </c>
      <c r="H27" s="10" t="s">
        <v>178</v>
      </c>
    </row>
    <row r="28" spans="2:8" x14ac:dyDescent="0.3">
      <c r="B28" s="3">
        <v>28</v>
      </c>
      <c r="C28" s="3" t="s">
        <v>147</v>
      </c>
      <c r="D28" s="3">
        <v>2</v>
      </c>
      <c r="E28" s="3">
        <v>68000</v>
      </c>
      <c r="F28" s="3">
        <f t="shared" si="0"/>
        <v>136000</v>
      </c>
      <c r="G28" s="3" t="s">
        <v>165</v>
      </c>
      <c r="H28" s="10" t="s">
        <v>164</v>
      </c>
    </row>
    <row r="29" spans="2:8" x14ac:dyDescent="0.3">
      <c r="B29" s="3">
        <v>29</v>
      </c>
      <c r="C29" s="3" t="s">
        <v>148</v>
      </c>
      <c r="D29" s="3">
        <v>2</v>
      </c>
      <c r="E29" s="3">
        <v>7000</v>
      </c>
      <c r="F29" s="3">
        <f t="shared" si="0"/>
        <v>14000</v>
      </c>
      <c r="G29" s="3" t="s">
        <v>205</v>
      </c>
      <c r="H29" s="10" t="s">
        <v>206</v>
      </c>
    </row>
    <row r="30" spans="2:8" x14ac:dyDescent="0.3">
      <c r="B30" s="3">
        <v>30</v>
      </c>
      <c r="C30" s="3" t="s">
        <v>143</v>
      </c>
      <c r="D30" s="3">
        <v>1</v>
      </c>
      <c r="E30" s="3">
        <v>4100</v>
      </c>
      <c r="F30" s="3">
        <f t="shared" ref="F30:F31" si="1">D30*E30</f>
        <v>4100</v>
      </c>
      <c r="G30" s="3" t="s">
        <v>176</v>
      </c>
      <c r="H30" s="10" t="s">
        <v>175</v>
      </c>
    </row>
    <row r="31" spans="2:8" x14ac:dyDescent="0.3">
      <c r="B31" s="3">
        <v>31</v>
      </c>
      <c r="C31" s="3" t="s">
        <v>234</v>
      </c>
      <c r="D31" s="3">
        <v>2</v>
      </c>
      <c r="E31" s="3">
        <v>32750</v>
      </c>
      <c r="F31" s="3">
        <f t="shared" si="1"/>
        <v>65500</v>
      </c>
      <c r="G31" s="3" t="s">
        <v>233</v>
      </c>
      <c r="H31" s="10" t="s">
        <v>232</v>
      </c>
    </row>
    <row r="32" spans="2:8" x14ac:dyDescent="0.3">
      <c r="E32" s="3" t="s">
        <v>144</v>
      </c>
      <c r="F32" s="3">
        <f>SUM(F9:F31)</f>
        <v>5434300</v>
      </c>
    </row>
    <row r="35" spans="2:8" x14ac:dyDescent="0.3">
      <c r="B35" s="15" t="s">
        <v>151</v>
      </c>
      <c r="C35" s="15"/>
      <c r="D35" s="15"/>
      <c r="E35" s="15"/>
      <c r="F35" s="15"/>
      <c r="G35" s="15"/>
      <c r="H35" s="15"/>
    </row>
    <row r="36" spans="2:8" x14ac:dyDescent="0.3">
      <c r="B36" s="9" t="s">
        <v>114</v>
      </c>
      <c r="C36" s="9" t="s">
        <v>109</v>
      </c>
      <c r="D36" s="9" t="s">
        <v>110</v>
      </c>
      <c r="E36" s="9" t="s">
        <v>111</v>
      </c>
      <c r="F36" s="9" t="s">
        <v>112</v>
      </c>
      <c r="G36" s="9" t="s">
        <v>35</v>
      </c>
      <c r="H36" s="9" t="s">
        <v>113</v>
      </c>
    </row>
    <row r="37" spans="2:8" x14ac:dyDescent="0.3">
      <c r="B37" s="3">
        <v>1</v>
      </c>
      <c r="C37" s="3" t="s">
        <v>149</v>
      </c>
      <c r="D37" s="3">
        <v>1</v>
      </c>
      <c r="E37" s="3">
        <v>947000</v>
      </c>
      <c r="F37" s="3">
        <f>E37*D37</f>
        <v>947000</v>
      </c>
      <c r="G37" s="3" t="s">
        <v>153</v>
      </c>
      <c r="H37" s="10" t="s">
        <v>152</v>
      </c>
    </row>
    <row r="38" spans="2:8" x14ac:dyDescent="0.3">
      <c r="B38" s="3">
        <v>2</v>
      </c>
      <c r="C38" s="3" t="s">
        <v>150</v>
      </c>
      <c r="D38" s="3">
        <v>1</v>
      </c>
      <c r="E38" s="3" t="s">
        <v>24</v>
      </c>
      <c r="F38" s="3" t="s">
        <v>24</v>
      </c>
      <c r="G38" s="3" t="s">
        <v>154</v>
      </c>
      <c r="H38" s="3"/>
    </row>
    <row r="39" spans="2:8" x14ac:dyDescent="0.3">
      <c r="B39" s="3">
        <v>3</v>
      </c>
      <c r="C39" s="3" t="s">
        <v>155</v>
      </c>
      <c r="D39" s="3">
        <v>1</v>
      </c>
      <c r="E39" s="3">
        <v>4330000</v>
      </c>
      <c r="F39" s="3">
        <f t="shared" ref="F39:F44" si="2">D39*E39</f>
        <v>4330000</v>
      </c>
      <c r="G39" s="3" t="s">
        <v>157</v>
      </c>
      <c r="H39" s="10" t="s">
        <v>156</v>
      </c>
    </row>
    <row r="40" spans="2:8" x14ac:dyDescent="0.3">
      <c r="B40" s="3">
        <v>4</v>
      </c>
      <c r="C40" s="3" t="s">
        <v>158</v>
      </c>
      <c r="D40" s="3">
        <v>1</v>
      </c>
      <c r="E40" s="3">
        <v>1830000</v>
      </c>
      <c r="F40" s="3">
        <f t="shared" si="2"/>
        <v>1830000</v>
      </c>
      <c r="G40" s="3" t="s">
        <v>159</v>
      </c>
      <c r="H40" s="10" t="s">
        <v>160</v>
      </c>
    </row>
    <row r="41" spans="2:8" x14ac:dyDescent="0.3">
      <c r="B41" s="3">
        <v>5</v>
      </c>
      <c r="C41" s="3" t="s">
        <v>184</v>
      </c>
      <c r="D41" s="3">
        <v>1</v>
      </c>
      <c r="E41" s="3">
        <v>1250000</v>
      </c>
      <c r="F41" s="3">
        <f t="shared" si="2"/>
        <v>1250000</v>
      </c>
      <c r="G41" s="3" t="s">
        <v>183</v>
      </c>
      <c r="H41" s="10" t="s">
        <v>182</v>
      </c>
    </row>
    <row r="42" spans="2:8" x14ac:dyDescent="0.3">
      <c r="B42" s="3">
        <v>6</v>
      </c>
      <c r="C42" s="3" t="s">
        <v>209</v>
      </c>
      <c r="D42" s="3">
        <v>1</v>
      </c>
      <c r="E42" s="3">
        <v>124000</v>
      </c>
      <c r="F42" s="3">
        <f t="shared" si="2"/>
        <v>124000</v>
      </c>
      <c r="G42" s="3" t="s">
        <v>210</v>
      </c>
      <c r="H42" s="10" t="s">
        <v>211</v>
      </c>
    </row>
    <row r="43" spans="2:8" x14ac:dyDescent="0.3">
      <c r="B43" s="3">
        <v>7</v>
      </c>
      <c r="C43" s="3" t="s">
        <v>226</v>
      </c>
      <c r="D43" s="3">
        <v>1</v>
      </c>
      <c r="E43" s="3">
        <v>1945000</v>
      </c>
      <c r="F43" s="3">
        <f t="shared" si="2"/>
        <v>1945000</v>
      </c>
      <c r="G43" s="3" t="s">
        <v>212</v>
      </c>
      <c r="H43" s="10" t="s">
        <v>213</v>
      </c>
    </row>
    <row r="44" spans="2:8" x14ac:dyDescent="0.3">
      <c r="B44" s="3">
        <v>8</v>
      </c>
      <c r="C44" s="3" t="s">
        <v>227</v>
      </c>
      <c r="D44" s="3">
        <v>1</v>
      </c>
      <c r="E44" s="3">
        <v>2792000</v>
      </c>
      <c r="F44" s="3">
        <f t="shared" si="2"/>
        <v>2792000</v>
      </c>
      <c r="G44" s="3" t="s">
        <v>228</v>
      </c>
      <c r="H44" s="10"/>
    </row>
    <row r="45" spans="2:8" x14ac:dyDescent="0.3">
      <c r="E45" s="3" t="s">
        <v>144</v>
      </c>
      <c r="F45" s="3">
        <f>SUM(F37:F44)</f>
        <v>13218000</v>
      </c>
      <c r="H45" s="11"/>
    </row>
    <row r="47" spans="2:8" x14ac:dyDescent="0.3">
      <c r="B47" s="16" t="s">
        <v>161</v>
      </c>
      <c r="C47" s="16"/>
    </row>
  </sheetData>
  <mergeCells count="2">
    <mergeCell ref="B35:H35"/>
    <mergeCell ref="B47:C47"/>
  </mergeCells>
  <phoneticPr fontId="1" type="noConversion"/>
  <hyperlinks>
    <hyperlink ref="H37" r:id="rId1" xr:uid="{C9137565-D3B6-4F70-B09C-32D930D3FA53}"/>
    <hyperlink ref="H39" r:id="rId2" xr:uid="{31EA7E85-DB86-4A44-9345-418C825C4511}"/>
    <hyperlink ref="H40" r:id="rId3" xr:uid="{D87DDA5E-C269-4E92-A40D-AC854907CC41}"/>
    <hyperlink ref="H11" r:id="rId4" xr:uid="{87EFF7D6-FA31-4FE4-9660-B6E57EE3F024}"/>
    <hyperlink ref="H9" r:id="rId5" xr:uid="{D9CBD9F7-5F26-4798-89D9-903E3D505401}"/>
    <hyperlink ref="H28" r:id="rId6" xr:uid="{E16F61F6-8695-4FDD-B71F-CE65441BCA3D}"/>
    <hyperlink ref="H10" r:id="rId7" xr:uid="{C029D88F-F19F-4C8B-AF5A-840948E38256}"/>
    <hyperlink ref="H20" r:id="rId8" xr:uid="{F47E1157-D597-472C-A06A-99548267E4C6}"/>
    <hyperlink ref="H22" r:id="rId9" xr:uid="{1DF07927-0FA1-4F16-BC8F-DCEA0BFED340}"/>
    <hyperlink ref="H24" r:id="rId10" xr:uid="{6A466BD5-BF47-41B4-B41A-7E50FA1E1900}"/>
    <hyperlink ref="H23" r:id="rId11" xr:uid="{4761B82F-8187-42E7-8D18-01750F697558}"/>
    <hyperlink ref="H25" r:id="rId12" xr:uid="{03CC3120-A50B-42C1-B9D0-AAD5154B24AB}"/>
    <hyperlink ref="H27" r:id="rId13" xr:uid="{1278DBE2-BE32-4AFB-BF1E-E9A3BD95F4BD}"/>
    <hyperlink ref="H26" r:id="rId14" xr:uid="{5F9485A6-0696-4C50-8A8C-2EC1364A29C4}"/>
    <hyperlink ref="H41" r:id="rId15" xr:uid="{74DBB8E8-C791-4758-A5FB-6EF3BB75FFBC}"/>
    <hyperlink ref="H21" r:id="rId16" xr:uid="{D8DF87F5-6A6B-40E6-8C40-46CA8ED2497B}"/>
    <hyperlink ref="H19" r:id="rId17" xr:uid="{9B33035B-C200-4201-8AD6-D351893D5F9D}"/>
    <hyperlink ref="H18" r:id="rId18" xr:uid="{FCB12609-2FCA-4227-869B-D01924844AE4}"/>
    <hyperlink ref="H17" r:id="rId19" display="https://www.tokopedia.com/eltech-online/rocker-power-switch-kcd-2pin-3pin-4pin-2way-3way-spst-spdt-dpdt-tombol-saklar-roker-on-off-square-round-mini-slim-kecil-kotak-bulat-oval-lonjong-gepeng-black-hitam-lampu-lamp-light-led-red-green-merah-hijau-2p-3p-4p-2-3-4-pin-kaki-arah-way-posisi-position-1732639109233476842?" xr:uid="{63C4DADB-3CA8-4DE1-907F-BDAB733439DB}"/>
    <hyperlink ref="H15" r:id="rId20" xr:uid="{DB73741E-B042-492F-8B73-027379FF1931}"/>
    <hyperlink ref="H13" r:id="rId21" xr:uid="{2DD25CF0-B1CC-4611-9684-90A3C8AA23E1}"/>
    <hyperlink ref="H14" r:id="rId22" xr:uid="{9E7DFC57-5DB1-40AD-A901-BA1895E46F7C}"/>
    <hyperlink ref="H29" r:id="rId23" xr:uid="{1EAD5D39-4311-4DC5-964C-6DFD5731C327}"/>
    <hyperlink ref="H12" r:id="rId24" xr:uid="{249F8836-354A-46CA-8B8F-802AA6F832BA}"/>
    <hyperlink ref="H42" r:id="rId25" xr:uid="{57B8FC1C-9FF5-46C9-87EB-6D4EB45BF2E8}"/>
    <hyperlink ref="H43" r:id="rId26" xr:uid="{F6AB4023-84E0-450D-8E7A-7ABD36FCB92B}"/>
    <hyperlink ref="H30" r:id="rId27" xr:uid="{2AD4FD7C-840F-4092-A8F4-770F2A392770}"/>
    <hyperlink ref="H31" r:id="rId28" xr:uid="{B28AA184-9D7A-4A3B-AFAB-003A9F61124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4EDD-53B7-499B-AA5B-4982B5659E0A}">
  <dimension ref="A2:C25"/>
  <sheetViews>
    <sheetView workbookViewId="0">
      <selection activeCell="O7" sqref="O7"/>
    </sheetView>
  </sheetViews>
  <sheetFormatPr defaultRowHeight="14.4" x14ac:dyDescent="0.3"/>
  <cols>
    <col min="2" max="2" width="11.6640625" customWidth="1"/>
  </cols>
  <sheetData>
    <row r="2" spans="1:3" x14ac:dyDescent="0.3">
      <c r="A2" s="17" t="s">
        <v>229</v>
      </c>
      <c r="B2" s="17"/>
      <c r="C2" s="17"/>
    </row>
    <row r="3" spans="1:3" x14ac:dyDescent="0.3">
      <c r="A3" s="3" t="s">
        <v>114</v>
      </c>
      <c r="B3" s="3" t="s">
        <v>230</v>
      </c>
      <c r="C3" s="3" t="s">
        <v>231</v>
      </c>
    </row>
    <row r="4" spans="1:3" x14ac:dyDescent="0.3">
      <c r="A4" s="3">
        <v>1</v>
      </c>
      <c r="B4" s="13">
        <v>45917</v>
      </c>
      <c r="C4" s="3">
        <v>2</v>
      </c>
    </row>
    <row r="5" spans="1:3" x14ac:dyDescent="0.3">
      <c r="A5" s="3">
        <v>2</v>
      </c>
      <c r="B5" s="13">
        <v>45918</v>
      </c>
      <c r="C5" s="3">
        <v>1</v>
      </c>
    </row>
    <row r="6" spans="1:3" x14ac:dyDescent="0.3">
      <c r="A6" s="3">
        <v>3</v>
      </c>
      <c r="B6" s="13">
        <v>45922</v>
      </c>
      <c r="C6" s="3">
        <v>1</v>
      </c>
    </row>
    <row r="7" spans="1:3" x14ac:dyDescent="0.3">
      <c r="A7" s="3">
        <v>4</v>
      </c>
      <c r="B7" s="13">
        <v>45923</v>
      </c>
      <c r="C7" s="3">
        <v>1</v>
      </c>
    </row>
    <row r="8" spans="1:3" x14ac:dyDescent="0.3">
      <c r="A8" s="3">
        <v>5</v>
      </c>
      <c r="B8" s="13">
        <v>45924</v>
      </c>
      <c r="C8" s="3">
        <v>1</v>
      </c>
    </row>
    <row r="9" spans="1:3" x14ac:dyDescent="0.3">
      <c r="A9" s="3">
        <v>6</v>
      </c>
      <c r="B9" s="13">
        <v>45925</v>
      </c>
      <c r="C9" s="3">
        <v>1</v>
      </c>
    </row>
    <row r="10" spans="1:3" x14ac:dyDescent="0.3">
      <c r="A10" s="3">
        <v>7</v>
      </c>
      <c r="B10" s="13">
        <v>45926</v>
      </c>
      <c r="C10" s="3">
        <v>1</v>
      </c>
    </row>
    <row r="11" spans="1:3" x14ac:dyDescent="0.3">
      <c r="A11" s="3">
        <v>8</v>
      </c>
      <c r="B11" s="13">
        <v>45929</v>
      </c>
      <c r="C11" s="3">
        <v>1</v>
      </c>
    </row>
    <row r="12" spans="1:3" x14ac:dyDescent="0.3">
      <c r="A12" s="3">
        <v>9</v>
      </c>
      <c r="B12" s="13">
        <v>45930</v>
      </c>
      <c r="C12" s="3">
        <v>1</v>
      </c>
    </row>
    <row r="13" spans="1:3" x14ac:dyDescent="0.3">
      <c r="A13" s="3">
        <v>10</v>
      </c>
      <c r="B13" s="13">
        <v>45931</v>
      </c>
      <c r="C13" s="3">
        <v>1</v>
      </c>
    </row>
    <row r="14" spans="1:3" x14ac:dyDescent="0.3">
      <c r="A14" s="3">
        <v>11</v>
      </c>
      <c r="B14" s="13">
        <v>45932</v>
      </c>
      <c r="C14" s="3">
        <v>1</v>
      </c>
    </row>
    <row r="15" spans="1:3" x14ac:dyDescent="0.3">
      <c r="A15" s="3">
        <v>12</v>
      </c>
      <c r="B15" s="13">
        <v>45947</v>
      </c>
      <c r="C15" s="3">
        <v>2</v>
      </c>
    </row>
    <row r="16" spans="1:3" x14ac:dyDescent="0.3">
      <c r="A16" s="3">
        <v>13</v>
      </c>
      <c r="B16" s="13">
        <v>45951</v>
      </c>
      <c r="C16" s="3">
        <v>2</v>
      </c>
    </row>
    <row r="17" spans="1:3" x14ac:dyDescent="0.3">
      <c r="A17" s="3">
        <v>14</v>
      </c>
      <c r="B17" s="13">
        <v>45954</v>
      </c>
      <c r="C17" s="3">
        <v>2</v>
      </c>
    </row>
    <row r="18" spans="1:3" x14ac:dyDescent="0.3">
      <c r="A18" s="3">
        <v>15</v>
      </c>
      <c r="B18" s="13">
        <v>45960</v>
      </c>
      <c r="C18" s="3">
        <v>2</v>
      </c>
    </row>
    <row r="19" spans="1:3" x14ac:dyDescent="0.3">
      <c r="A19" s="3">
        <v>16</v>
      </c>
      <c r="B19" s="13">
        <v>45981</v>
      </c>
      <c r="C19" s="3">
        <v>2</v>
      </c>
    </row>
    <row r="20" spans="1:3" x14ac:dyDescent="0.3">
      <c r="A20" s="3">
        <v>17</v>
      </c>
      <c r="B20" s="13">
        <v>45982</v>
      </c>
      <c r="C20" s="3">
        <v>2</v>
      </c>
    </row>
    <row r="21" spans="1:3" x14ac:dyDescent="0.3">
      <c r="A21" s="3">
        <v>18</v>
      </c>
      <c r="B21" s="13">
        <v>45989</v>
      </c>
      <c r="C21" s="3">
        <v>2</v>
      </c>
    </row>
    <row r="22" spans="1:3" x14ac:dyDescent="0.3">
      <c r="A22" s="3">
        <v>19</v>
      </c>
      <c r="B22" s="13">
        <v>46001</v>
      </c>
      <c r="C22" s="3">
        <v>2</v>
      </c>
    </row>
    <row r="23" spans="1:3" x14ac:dyDescent="0.3">
      <c r="A23" s="3">
        <v>20</v>
      </c>
      <c r="B23" s="13">
        <v>46002</v>
      </c>
      <c r="C23" s="3">
        <v>2</v>
      </c>
    </row>
    <row r="24" spans="1:3" x14ac:dyDescent="0.3">
      <c r="A24" s="3">
        <v>21</v>
      </c>
      <c r="B24" s="13">
        <v>46003</v>
      </c>
      <c r="C24" s="3">
        <v>2</v>
      </c>
    </row>
    <row r="25" spans="1:3" x14ac:dyDescent="0.3">
      <c r="A25" s="17" t="s">
        <v>144</v>
      </c>
      <c r="B25" s="17"/>
      <c r="C25" s="3">
        <f>SUM(C4:C24)</f>
        <v>32</v>
      </c>
    </row>
  </sheetData>
  <mergeCells count="2">
    <mergeCell ref="A25:B25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DE9D-F550-420E-BADB-0B4E0D4D871B}">
  <dimension ref="B3:F27"/>
  <sheetViews>
    <sheetView tabSelected="1" workbookViewId="0">
      <selection activeCell="C24" sqref="C24"/>
    </sheetView>
  </sheetViews>
  <sheetFormatPr defaultRowHeight="14.4" x14ac:dyDescent="0.3"/>
  <cols>
    <col min="2" max="2" width="17.6640625" customWidth="1"/>
    <col min="3" max="3" width="72" bestFit="1" customWidth="1"/>
    <col min="4" max="4" width="13.88671875" bestFit="1" customWidth="1"/>
    <col min="5" max="5" width="15.44140625" customWidth="1"/>
    <col min="6" max="6" width="69.33203125" bestFit="1" customWidth="1"/>
  </cols>
  <sheetData>
    <row r="3" spans="2:6" x14ac:dyDescent="0.3">
      <c r="B3" s="2" t="s">
        <v>7</v>
      </c>
      <c r="C3" s="2" t="s">
        <v>34</v>
      </c>
      <c r="D3" s="2" t="s">
        <v>49</v>
      </c>
      <c r="E3" s="2" t="s">
        <v>42</v>
      </c>
      <c r="F3" s="2" t="s">
        <v>35</v>
      </c>
    </row>
    <row r="4" spans="2:6" x14ac:dyDescent="0.3">
      <c r="B4" s="18" t="s">
        <v>39</v>
      </c>
      <c r="C4" s="2" t="s">
        <v>100</v>
      </c>
      <c r="D4" s="2">
        <v>4</v>
      </c>
      <c r="E4" s="2" t="s">
        <v>24</v>
      </c>
      <c r="F4" s="2" t="s">
        <v>36</v>
      </c>
    </row>
    <row r="5" spans="2:6" x14ac:dyDescent="0.3">
      <c r="B5" s="18"/>
      <c r="C5" s="2" t="s">
        <v>37</v>
      </c>
      <c r="D5" s="2" t="s">
        <v>40</v>
      </c>
      <c r="E5" s="2" t="s">
        <v>24</v>
      </c>
      <c r="F5" s="2" t="s">
        <v>24</v>
      </c>
    </row>
    <row r="6" spans="2:6" x14ac:dyDescent="0.3">
      <c r="B6" s="18"/>
      <c r="C6" s="2" t="s">
        <v>38</v>
      </c>
      <c r="D6" s="2" t="s">
        <v>24</v>
      </c>
      <c r="E6" s="7" t="s">
        <v>99</v>
      </c>
      <c r="F6" s="2" t="s">
        <v>24</v>
      </c>
    </row>
    <row r="7" spans="2:6" x14ac:dyDescent="0.3">
      <c r="B7" s="18"/>
      <c r="C7" s="2" t="s">
        <v>41</v>
      </c>
      <c r="D7" s="2" t="s">
        <v>24</v>
      </c>
      <c r="E7" s="2" t="s">
        <v>40</v>
      </c>
      <c r="F7" s="2" t="s">
        <v>24</v>
      </c>
    </row>
    <row r="8" spans="2:6" x14ac:dyDescent="0.3">
      <c r="B8" s="18" t="s">
        <v>44</v>
      </c>
      <c r="C8" s="2" t="s">
        <v>45</v>
      </c>
      <c r="D8" s="2">
        <v>5</v>
      </c>
      <c r="E8" s="2"/>
      <c r="F8" s="2" t="s">
        <v>24</v>
      </c>
    </row>
    <row r="9" spans="2:6" x14ac:dyDescent="0.3">
      <c r="B9" s="18"/>
      <c r="C9" s="2" t="s">
        <v>40</v>
      </c>
      <c r="D9" s="2" t="s">
        <v>40</v>
      </c>
      <c r="E9" s="2" t="s">
        <v>40</v>
      </c>
      <c r="F9" s="2" t="s">
        <v>50</v>
      </c>
    </row>
    <row r="10" spans="2:6" x14ac:dyDescent="0.3">
      <c r="B10" s="18"/>
      <c r="C10" s="2" t="s">
        <v>46</v>
      </c>
      <c r="D10" s="2" t="s">
        <v>24</v>
      </c>
      <c r="E10" s="7" t="s">
        <v>98</v>
      </c>
      <c r="F10" s="2" t="s">
        <v>24</v>
      </c>
    </row>
    <row r="11" spans="2:6" x14ac:dyDescent="0.3">
      <c r="B11" s="18"/>
      <c r="C11" s="2" t="s">
        <v>47</v>
      </c>
      <c r="D11" s="2" t="s">
        <v>77</v>
      </c>
      <c r="E11" s="2" t="s">
        <v>24</v>
      </c>
      <c r="F11" s="19" t="s">
        <v>68</v>
      </c>
    </row>
    <row r="12" spans="2:6" x14ac:dyDescent="0.3">
      <c r="B12" s="18"/>
      <c r="C12" s="2" t="s">
        <v>48</v>
      </c>
      <c r="D12" s="2" t="s">
        <v>78</v>
      </c>
      <c r="E12" s="2" t="s">
        <v>24</v>
      </c>
      <c r="F12" s="20"/>
    </row>
    <row r="13" spans="2:6" x14ac:dyDescent="0.3">
      <c r="B13" s="18" t="s">
        <v>51</v>
      </c>
      <c r="C13" s="2" t="s">
        <v>52</v>
      </c>
      <c r="D13" s="2" t="s">
        <v>74</v>
      </c>
      <c r="E13" s="2" t="s">
        <v>24</v>
      </c>
      <c r="F13" s="18" t="s">
        <v>73</v>
      </c>
    </row>
    <row r="14" spans="2:6" x14ac:dyDescent="0.3">
      <c r="B14" s="18"/>
      <c r="C14" s="2" t="s">
        <v>53</v>
      </c>
      <c r="D14" s="3" t="s">
        <v>75</v>
      </c>
      <c r="E14" s="2" t="s">
        <v>24</v>
      </c>
      <c r="F14" s="18"/>
    </row>
    <row r="15" spans="2:6" x14ac:dyDescent="0.3">
      <c r="B15" s="18"/>
      <c r="C15" s="2" t="s">
        <v>40</v>
      </c>
      <c r="D15" s="2" t="s">
        <v>40</v>
      </c>
      <c r="E15" s="2" t="s">
        <v>24</v>
      </c>
      <c r="F15" s="3" t="s">
        <v>24</v>
      </c>
    </row>
    <row r="16" spans="2:6" x14ac:dyDescent="0.3">
      <c r="B16" s="18"/>
      <c r="C16" s="2" t="s">
        <v>46</v>
      </c>
      <c r="D16" s="2" t="s">
        <v>54</v>
      </c>
      <c r="E16" s="7" t="s">
        <v>24</v>
      </c>
      <c r="F16" s="3" t="s">
        <v>24</v>
      </c>
    </row>
    <row r="17" spans="2:6" x14ac:dyDescent="0.3">
      <c r="B17" s="19" t="s">
        <v>108</v>
      </c>
      <c r="C17" s="2" t="s">
        <v>65</v>
      </c>
      <c r="D17" s="2">
        <v>6</v>
      </c>
      <c r="E17" s="2" t="s">
        <v>24</v>
      </c>
      <c r="F17" s="3" t="s">
        <v>67</v>
      </c>
    </row>
    <row r="18" spans="2:6" x14ac:dyDescent="0.3">
      <c r="B18" s="21"/>
      <c r="C18" s="2" t="s">
        <v>66</v>
      </c>
      <c r="D18" s="2">
        <v>7</v>
      </c>
      <c r="E18" s="2" t="s">
        <v>24</v>
      </c>
      <c r="F18" s="3" t="s">
        <v>24</v>
      </c>
    </row>
    <row r="19" spans="2:6" x14ac:dyDescent="0.3">
      <c r="B19" s="21"/>
      <c r="C19" s="2" t="s">
        <v>40</v>
      </c>
      <c r="D19" s="3" t="s">
        <v>40</v>
      </c>
      <c r="E19" s="2" t="s">
        <v>24</v>
      </c>
      <c r="F19" s="3" t="s">
        <v>24</v>
      </c>
    </row>
    <row r="20" spans="2:6" x14ac:dyDescent="0.3">
      <c r="B20" s="21"/>
      <c r="C20" s="2" t="s">
        <v>96</v>
      </c>
      <c r="D20" s="3">
        <v>9</v>
      </c>
      <c r="E20" s="19" t="s">
        <v>98</v>
      </c>
      <c r="F20" s="3" t="s">
        <v>24</v>
      </c>
    </row>
    <row r="21" spans="2:6" x14ac:dyDescent="0.3">
      <c r="B21" s="20"/>
      <c r="C21" s="2" t="s">
        <v>97</v>
      </c>
      <c r="D21" s="3">
        <v>10</v>
      </c>
      <c r="E21" s="20"/>
      <c r="F21" s="3" t="s">
        <v>24</v>
      </c>
    </row>
    <row r="22" spans="2:6" x14ac:dyDescent="0.3">
      <c r="B22" s="18" t="s">
        <v>90</v>
      </c>
      <c r="C22" s="2" t="s">
        <v>52</v>
      </c>
      <c r="D22" s="3" t="s">
        <v>76</v>
      </c>
      <c r="E22" s="2" t="s">
        <v>24</v>
      </c>
      <c r="F22" s="18" t="s">
        <v>55</v>
      </c>
    </row>
    <row r="23" spans="2:6" x14ac:dyDescent="0.3">
      <c r="B23" s="18"/>
      <c r="C23" s="2" t="s">
        <v>53</v>
      </c>
      <c r="D23" s="3" t="s">
        <v>89</v>
      </c>
      <c r="E23" s="2" t="s">
        <v>24</v>
      </c>
      <c r="F23" s="18"/>
    </row>
    <row r="24" spans="2:6" x14ac:dyDescent="0.3">
      <c r="B24" s="18"/>
      <c r="C24" s="2" t="s">
        <v>40</v>
      </c>
      <c r="D24" s="3" t="s">
        <v>24</v>
      </c>
      <c r="E24" s="2" t="s">
        <v>40</v>
      </c>
      <c r="F24" s="3" t="s">
        <v>24</v>
      </c>
    </row>
    <row r="25" spans="2:6" x14ac:dyDescent="0.3">
      <c r="B25" s="18"/>
      <c r="C25" s="2" t="s">
        <v>46</v>
      </c>
      <c r="D25" s="3" t="s">
        <v>24</v>
      </c>
      <c r="E25" s="7" t="s">
        <v>43</v>
      </c>
      <c r="F25" s="3" t="s">
        <v>24</v>
      </c>
    </row>
    <row r="26" spans="2:6" x14ac:dyDescent="0.3">
      <c r="B26" s="18" t="s">
        <v>105</v>
      </c>
      <c r="C26" s="2" t="s">
        <v>106</v>
      </c>
      <c r="D26" s="2">
        <v>1</v>
      </c>
      <c r="E26" s="2" t="s">
        <v>24</v>
      </c>
      <c r="F26" s="2" t="s">
        <v>24</v>
      </c>
    </row>
    <row r="27" spans="2:6" x14ac:dyDescent="0.3">
      <c r="B27" s="18"/>
      <c r="C27" s="2" t="s">
        <v>107</v>
      </c>
      <c r="D27" s="2">
        <v>2</v>
      </c>
      <c r="E27" s="2" t="s">
        <v>24</v>
      </c>
      <c r="F27" s="2" t="s">
        <v>24</v>
      </c>
    </row>
  </sheetData>
  <mergeCells count="10">
    <mergeCell ref="B26:B27"/>
    <mergeCell ref="B22:B25"/>
    <mergeCell ref="F22:F23"/>
    <mergeCell ref="B4:B7"/>
    <mergeCell ref="B8:B12"/>
    <mergeCell ref="F13:F14"/>
    <mergeCell ref="B13:B16"/>
    <mergeCell ref="F11:F12"/>
    <mergeCell ref="B17:B21"/>
    <mergeCell ref="E20:E21"/>
  </mergeCells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CF7B-2AB6-4D49-946D-5735B8B20FC8}">
  <dimension ref="A1"/>
  <sheetViews>
    <sheetView topLeftCell="A7" zoomScale="85" zoomScaleNormal="85" workbookViewId="0">
      <selection activeCell="O26" sqref="O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38D5-4880-452C-B563-6FF852FEF95D}">
  <dimension ref="B2:C17"/>
  <sheetViews>
    <sheetView workbookViewId="0">
      <selection activeCell="B19" sqref="B19"/>
    </sheetView>
  </sheetViews>
  <sheetFormatPr defaultRowHeight="14.4" x14ac:dyDescent="0.3"/>
  <cols>
    <col min="2" max="2" width="70.6640625" customWidth="1"/>
    <col min="3" max="3" width="103.33203125" bestFit="1" customWidth="1"/>
  </cols>
  <sheetData>
    <row r="2" spans="2:3" x14ac:dyDescent="0.3">
      <c r="B2" s="2" t="s">
        <v>56</v>
      </c>
      <c r="C2" s="2" t="s">
        <v>35</v>
      </c>
    </row>
    <row r="3" spans="2:3" x14ac:dyDescent="0.3">
      <c r="B3" s="18" t="s">
        <v>57</v>
      </c>
      <c r="C3" s="2" t="s">
        <v>58</v>
      </c>
    </row>
    <row r="4" spans="2:3" x14ac:dyDescent="0.3">
      <c r="B4" s="18"/>
      <c r="C4" s="2" t="s">
        <v>59</v>
      </c>
    </row>
    <row r="5" spans="2:3" x14ac:dyDescent="0.3">
      <c r="B5" s="18"/>
      <c r="C5" s="2" t="s">
        <v>60</v>
      </c>
    </row>
    <row r="6" spans="2:3" x14ac:dyDescent="0.3">
      <c r="B6" s="18"/>
      <c r="C6" s="2" t="s">
        <v>61</v>
      </c>
    </row>
    <row r="7" spans="2:3" x14ac:dyDescent="0.3">
      <c r="B7" s="18"/>
      <c r="C7" s="2" t="s">
        <v>62</v>
      </c>
    </row>
    <row r="8" spans="2:3" x14ac:dyDescent="0.3">
      <c r="B8" s="18"/>
      <c r="C8" s="2" t="s">
        <v>63</v>
      </c>
    </row>
    <row r="9" spans="2:3" x14ac:dyDescent="0.3">
      <c r="B9" s="18"/>
      <c r="C9" s="2" t="s">
        <v>64</v>
      </c>
    </row>
    <row r="10" spans="2:3" x14ac:dyDescent="0.3">
      <c r="B10" s="3" t="s">
        <v>69</v>
      </c>
      <c r="C10" s="2" t="s">
        <v>70</v>
      </c>
    </row>
    <row r="11" spans="2:3" x14ac:dyDescent="0.3">
      <c r="B11" s="3" t="s">
        <v>71</v>
      </c>
      <c r="C11" s="2" t="s">
        <v>72</v>
      </c>
    </row>
    <row r="12" spans="2:3" x14ac:dyDescent="0.3">
      <c r="B12" s="3" t="s">
        <v>80</v>
      </c>
      <c r="C12" s="2" t="s">
        <v>81</v>
      </c>
    </row>
    <row r="13" spans="2:3" x14ac:dyDescent="0.3">
      <c r="B13" s="3" t="s">
        <v>79</v>
      </c>
      <c r="C13" s="2" t="s">
        <v>82</v>
      </c>
    </row>
    <row r="15" spans="2:3" x14ac:dyDescent="0.3">
      <c r="B15" s="3" t="s">
        <v>101</v>
      </c>
      <c r="C15" s="2" t="s">
        <v>103</v>
      </c>
    </row>
    <row r="16" spans="2:3" x14ac:dyDescent="0.3">
      <c r="B16" s="3" t="s">
        <v>102</v>
      </c>
      <c r="C16" s="2" t="s">
        <v>104</v>
      </c>
    </row>
    <row r="17" spans="2:3" x14ac:dyDescent="0.3">
      <c r="B17" s="2" t="s">
        <v>145</v>
      </c>
      <c r="C17" s="2" t="s">
        <v>146</v>
      </c>
    </row>
  </sheetData>
  <mergeCells count="1">
    <mergeCell ref="B3:B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E050-5A47-4CA9-92A4-5E6B45C09457}">
  <dimension ref="A2:I37"/>
  <sheetViews>
    <sheetView topLeftCell="A10" workbookViewId="0">
      <selection activeCell="B34" sqref="B34"/>
    </sheetView>
  </sheetViews>
  <sheetFormatPr defaultRowHeight="14.4" x14ac:dyDescent="0.3"/>
  <cols>
    <col min="2" max="2" width="12.44140625" customWidth="1"/>
    <col min="3" max="3" width="11.5546875" bestFit="1" customWidth="1"/>
    <col min="4" max="6" width="11.33203125" bestFit="1" customWidth="1"/>
  </cols>
  <sheetData>
    <row r="2" spans="1:9" x14ac:dyDescent="0.3">
      <c r="A2" s="22" t="s">
        <v>29</v>
      </c>
      <c r="B2" s="22"/>
      <c r="C2" s="22"/>
      <c r="D2" s="22"/>
      <c r="E2" s="22"/>
      <c r="F2" s="22"/>
      <c r="G2" s="22"/>
    </row>
    <row r="3" spans="1:9" x14ac:dyDescent="0.3">
      <c r="A3" s="1" t="s">
        <v>30</v>
      </c>
      <c r="B3" s="22" t="s">
        <v>31</v>
      </c>
      <c r="C3" s="22"/>
      <c r="D3" s="22" t="s">
        <v>32</v>
      </c>
      <c r="E3" s="22"/>
      <c r="F3" s="1" t="s">
        <v>33</v>
      </c>
      <c r="G3" t="s">
        <v>33</v>
      </c>
    </row>
    <row r="4" spans="1:9" x14ac:dyDescent="0.3">
      <c r="A4" s="1">
        <v>35</v>
      </c>
      <c r="B4" s="4">
        <v>2244.28125</v>
      </c>
      <c r="C4" s="4">
        <v>2244.28125</v>
      </c>
      <c r="D4" s="4">
        <f>B4-$B$11</f>
        <v>588.88124999999991</v>
      </c>
      <c r="E4" s="4">
        <f>C4-$B$11</f>
        <v>588.88124999999991</v>
      </c>
      <c r="F4" s="4">
        <f>AVERAGE(D4:E4)</f>
        <v>588.88124999999991</v>
      </c>
      <c r="G4" s="5">
        <f>AVERAGE(B4:C4)</f>
        <v>2244.28125</v>
      </c>
      <c r="H4" s="6">
        <f>G4*0.0594-98.801</f>
        <v>34.509306249999995</v>
      </c>
      <c r="I4">
        <f>(H4-A4)^2</f>
        <v>0.24078035628906788</v>
      </c>
    </row>
    <row r="5" spans="1:9" x14ac:dyDescent="0.3">
      <c r="A5" s="1">
        <v>30</v>
      </c>
      <c r="B5" s="4">
        <v>2164.6379299999999</v>
      </c>
      <c r="C5" s="4">
        <v>2174.36364</v>
      </c>
      <c r="D5" s="4">
        <f t="shared" ref="D5:D18" si="0">B5-$B$11</f>
        <v>509.23792999999978</v>
      </c>
      <c r="E5" s="4">
        <f t="shared" ref="E5:E18" si="1">C5-$B$11</f>
        <v>518.96363999999994</v>
      </c>
      <c r="F5" s="4">
        <f t="shared" ref="F5:F18" si="2">AVERAGE(D5:E5)</f>
        <v>514.10078499999986</v>
      </c>
      <c r="G5" s="5">
        <f t="shared" ref="G5:G18" si="3">AVERAGE(B5:C5)</f>
        <v>2169.5007850000002</v>
      </c>
      <c r="H5" s="6">
        <f t="shared" ref="H5:H18" si="4">G5*0.0594-98.801</f>
        <v>30.067346628999999</v>
      </c>
      <c r="I5">
        <f t="shared" ref="I5:I18" si="5">(H5-A5)^2</f>
        <v>4.5355684376635497E-3</v>
      </c>
    </row>
    <row r="6" spans="1:9" x14ac:dyDescent="0.3">
      <c r="A6" s="1">
        <v>25</v>
      </c>
      <c r="B6" s="4">
        <v>2081.3454499999998</v>
      </c>
      <c r="C6" s="4">
        <v>2091.2973000000002</v>
      </c>
      <c r="D6" s="4">
        <f t="shared" si="0"/>
        <v>425.94544999999971</v>
      </c>
      <c r="E6" s="4">
        <f t="shared" si="1"/>
        <v>435.89730000000009</v>
      </c>
      <c r="F6" s="4">
        <f t="shared" si="2"/>
        <v>430.9213749999999</v>
      </c>
      <c r="G6" s="5">
        <f t="shared" si="3"/>
        <v>2086.321375</v>
      </c>
      <c r="H6" s="6">
        <f t="shared" si="4"/>
        <v>25.126489675000002</v>
      </c>
      <c r="I6">
        <f t="shared" si="5"/>
        <v>1.5999637881606122E-2</v>
      </c>
    </row>
    <row r="7" spans="1:9" x14ac:dyDescent="0.3">
      <c r="A7" s="1">
        <v>20</v>
      </c>
      <c r="B7" s="4">
        <v>1996.34375</v>
      </c>
      <c r="C7" s="4">
        <v>2006.2753600000001</v>
      </c>
      <c r="D7" s="4">
        <f t="shared" si="0"/>
        <v>340.94374999999991</v>
      </c>
      <c r="E7" s="4">
        <f t="shared" si="1"/>
        <v>350.87536</v>
      </c>
      <c r="F7" s="4">
        <f t="shared" si="2"/>
        <v>345.90955499999995</v>
      </c>
      <c r="G7" s="5">
        <f t="shared" si="3"/>
        <v>2001.309555</v>
      </c>
      <c r="H7" s="6">
        <f t="shared" si="4"/>
        <v>20.076787566999997</v>
      </c>
      <c r="I7">
        <f t="shared" si="5"/>
        <v>5.8963304457789779E-3</v>
      </c>
    </row>
    <row r="8" spans="1:9" x14ac:dyDescent="0.3">
      <c r="A8" s="1">
        <v>15</v>
      </c>
      <c r="B8" s="4">
        <v>1912.3253</v>
      </c>
      <c r="C8" s="4">
        <v>1926.3281199999999</v>
      </c>
      <c r="D8" s="4">
        <f t="shared" si="0"/>
        <v>256.92529999999988</v>
      </c>
      <c r="E8" s="4">
        <f t="shared" si="1"/>
        <v>270.92811999999981</v>
      </c>
      <c r="F8" s="4">
        <f t="shared" si="2"/>
        <v>263.92670999999984</v>
      </c>
      <c r="G8" s="5">
        <f t="shared" si="3"/>
        <v>1919.3267099999998</v>
      </c>
      <c r="H8" s="6">
        <f t="shared" si="4"/>
        <v>15.20700657399999</v>
      </c>
      <c r="I8">
        <f t="shared" si="5"/>
        <v>4.2851721679213521E-2</v>
      </c>
    </row>
    <row r="9" spans="1:9" x14ac:dyDescent="0.3">
      <c r="A9" s="1">
        <v>10</v>
      </c>
      <c r="B9" s="4">
        <v>1828.03448</v>
      </c>
      <c r="C9" s="4">
        <v>1841.75</v>
      </c>
      <c r="D9" s="4">
        <f t="shared" si="0"/>
        <v>172.63447999999994</v>
      </c>
      <c r="E9" s="4">
        <f t="shared" si="1"/>
        <v>186.34999999999991</v>
      </c>
      <c r="F9" s="4">
        <f t="shared" si="2"/>
        <v>179.49223999999992</v>
      </c>
      <c r="G9" s="5">
        <f t="shared" si="3"/>
        <v>1834.8922400000001</v>
      </c>
      <c r="H9" s="6">
        <f t="shared" si="4"/>
        <v>10.191599056000015</v>
      </c>
      <c r="I9">
        <f t="shared" si="5"/>
        <v>3.6710198260097027E-2</v>
      </c>
    </row>
    <row r="10" spans="1:9" x14ac:dyDescent="0.3">
      <c r="A10" s="1">
        <v>5</v>
      </c>
      <c r="B10" s="4">
        <v>1744.6624999999999</v>
      </c>
      <c r="C10" s="4">
        <v>1756.6885199999999</v>
      </c>
      <c r="D10" s="4">
        <f t="shared" si="0"/>
        <v>89.262499999999818</v>
      </c>
      <c r="E10" s="4">
        <f t="shared" si="1"/>
        <v>101.28851999999983</v>
      </c>
      <c r="F10" s="4">
        <f t="shared" si="2"/>
        <v>95.275509999999827</v>
      </c>
      <c r="G10" s="5">
        <f t="shared" si="3"/>
        <v>1750.67551</v>
      </c>
      <c r="H10" s="6">
        <f t="shared" si="4"/>
        <v>5.1891252940000072</v>
      </c>
      <c r="I10">
        <f t="shared" si="5"/>
        <v>3.5768376830589164E-2</v>
      </c>
    </row>
    <row r="11" spans="1:9" x14ac:dyDescent="0.3">
      <c r="A11" s="1">
        <v>0</v>
      </c>
      <c r="B11" s="4">
        <v>1655.4</v>
      </c>
      <c r="C11" s="4">
        <v>1666.8412699999999</v>
      </c>
      <c r="D11" s="4">
        <f t="shared" si="0"/>
        <v>0</v>
      </c>
      <c r="E11" s="4">
        <f t="shared" si="1"/>
        <v>11.441269999999804</v>
      </c>
      <c r="F11" s="4">
        <f t="shared" si="2"/>
        <v>5.720634999999902</v>
      </c>
      <c r="G11" s="5">
        <f t="shared" si="3"/>
        <v>1661.120635</v>
      </c>
      <c r="H11" s="6">
        <f t="shared" si="4"/>
        <v>-0.13043428100000654</v>
      </c>
      <c r="I11">
        <f t="shared" si="5"/>
        <v>1.7013101659988667E-2</v>
      </c>
    </row>
    <row r="12" spans="1:9" x14ac:dyDescent="0.3">
      <c r="A12" s="1">
        <v>-5</v>
      </c>
      <c r="B12" s="4">
        <v>1573.81818</v>
      </c>
      <c r="C12" s="4">
        <v>1587.2987000000001</v>
      </c>
      <c r="D12" s="4">
        <f t="shared" si="0"/>
        <v>-81.581820000000107</v>
      </c>
      <c r="E12" s="4">
        <f t="shared" si="1"/>
        <v>-68.101300000000037</v>
      </c>
      <c r="F12" s="4">
        <f t="shared" si="2"/>
        <v>-74.841560000000072</v>
      </c>
      <c r="G12" s="5">
        <f t="shared" si="3"/>
        <v>1580.55844</v>
      </c>
      <c r="H12" s="6">
        <f t="shared" si="4"/>
        <v>-4.9158286640000028</v>
      </c>
      <c r="I12">
        <f t="shared" si="5"/>
        <v>7.0848138040244171E-3</v>
      </c>
    </row>
    <row r="13" spans="1:9" x14ac:dyDescent="0.3">
      <c r="A13" s="1">
        <v>-10</v>
      </c>
      <c r="B13" s="4">
        <v>1490.4</v>
      </c>
      <c r="C13" s="4">
        <v>1501.625</v>
      </c>
      <c r="D13" s="4">
        <f t="shared" si="0"/>
        <v>-165</v>
      </c>
      <c r="E13" s="4">
        <f t="shared" si="1"/>
        <v>-153.77500000000009</v>
      </c>
      <c r="F13" s="4">
        <f t="shared" si="2"/>
        <v>-159.38750000000005</v>
      </c>
      <c r="G13" s="5">
        <f t="shared" si="3"/>
        <v>1496.0125</v>
      </c>
      <c r="H13" s="6">
        <f t="shared" si="4"/>
        <v>-9.9378574999999927</v>
      </c>
      <c r="I13">
        <f t="shared" si="5"/>
        <v>3.8616903062509093E-3</v>
      </c>
    </row>
    <row r="14" spans="1:9" x14ac:dyDescent="0.3">
      <c r="A14" s="1">
        <v>-15</v>
      </c>
      <c r="B14" s="4">
        <v>1404.05882</v>
      </c>
      <c r="C14" s="4">
        <v>1412.8125</v>
      </c>
      <c r="D14" s="4">
        <f t="shared" si="0"/>
        <v>-251.34118000000012</v>
      </c>
      <c r="E14" s="4">
        <f t="shared" si="1"/>
        <v>-242.58750000000009</v>
      </c>
      <c r="F14" s="4">
        <f t="shared" si="2"/>
        <v>-246.96434000000011</v>
      </c>
      <c r="G14" s="5">
        <f t="shared" si="3"/>
        <v>1408.4356600000001</v>
      </c>
      <c r="H14" s="6">
        <f t="shared" si="4"/>
        <v>-15.139921795999996</v>
      </c>
      <c r="I14">
        <f t="shared" si="5"/>
        <v>1.9578108995864464E-2</v>
      </c>
    </row>
    <row r="15" spans="1:9" x14ac:dyDescent="0.3">
      <c r="A15" s="1">
        <v>-20</v>
      </c>
      <c r="B15" s="4">
        <v>1323.06944</v>
      </c>
      <c r="C15" s="4">
        <v>1328.425</v>
      </c>
      <c r="D15" s="4">
        <f t="shared" si="0"/>
        <v>-332.3305600000001</v>
      </c>
      <c r="E15" s="4">
        <f t="shared" si="1"/>
        <v>-326.97500000000014</v>
      </c>
      <c r="F15" s="4">
        <f t="shared" si="2"/>
        <v>-329.65278000000012</v>
      </c>
      <c r="G15" s="5">
        <f t="shared" si="3"/>
        <v>1325.74722</v>
      </c>
      <c r="H15" s="6">
        <f t="shared" si="4"/>
        <v>-20.051615131999995</v>
      </c>
      <c r="I15">
        <f t="shared" si="5"/>
        <v>2.6641218513768976E-3</v>
      </c>
    </row>
    <row r="16" spans="1:9" x14ac:dyDescent="0.3">
      <c r="A16" s="1">
        <v>-25</v>
      </c>
      <c r="B16" s="4">
        <v>1232.69444</v>
      </c>
      <c r="C16" s="4">
        <v>1239.78873</v>
      </c>
      <c r="D16" s="4">
        <f t="shared" si="0"/>
        <v>-422.7055600000001</v>
      </c>
      <c r="E16" s="4">
        <f t="shared" si="1"/>
        <v>-415.6112700000001</v>
      </c>
      <c r="F16" s="4">
        <f t="shared" si="2"/>
        <v>-419.1584150000001</v>
      </c>
      <c r="G16" s="5">
        <f t="shared" si="3"/>
        <v>1236.241585</v>
      </c>
      <c r="H16" s="6">
        <f t="shared" si="4"/>
        <v>-25.368249851000002</v>
      </c>
      <c r="I16">
        <f t="shared" si="5"/>
        <v>0.1356079527615234</v>
      </c>
    </row>
    <row r="17" spans="1:9" x14ac:dyDescent="0.3">
      <c r="A17" s="1">
        <v>-30</v>
      </c>
      <c r="B17" s="4">
        <v>1153.40625</v>
      </c>
      <c r="C17" s="4">
        <v>1159.08197</v>
      </c>
      <c r="D17" s="4">
        <f t="shared" si="0"/>
        <v>-501.99375000000009</v>
      </c>
      <c r="E17" s="4">
        <f t="shared" si="1"/>
        <v>-496.31803000000014</v>
      </c>
      <c r="F17" s="4">
        <f t="shared" si="2"/>
        <v>-499.15589000000011</v>
      </c>
      <c r="G17" s="5">
        <f t="shared" si="3"/>
        <v>1156.2441100000001</v>
      </c>
      <c r="H17" s="6">
        <f t="shared" si="4"/>
        <v>-30.12009986599999</v>
      </c>
      <c r="I17">
        <f t="shared" si="5"/>
        <v>1.4423977813215475E-2</v>
      </c>
    </row>
    <row r="18" spans="1:9" x14ac:dyDescent="0.3">
      <c r="A18" s="1">
        <v>-35</v>
      </c>
      <c r="B18" s="4">
        <v>1079.3731299999999</v>
      </c>
      <c r="C18" s="4">
        <v>1079.3731299999999</v>
      </c>
      <c r="D18" s="4">
        <f t="shared" si="0"/>
        <v>-576.02687000000014</v>
      </c>
      <c r="E18" s="4">
        <f t="shared" si="1"/>
        <v>-576.02687000000014</v>
      </c>
      <c r="F18" s="4">
        <f t="shared" si="2"/>
        <v>-576.02687000000014</v>
      </c>
      <c r="G18" s="5">
        <f t="shared" si="3"/>
        <v>1079.3731299999999</v>
      </c>
      <c r="H18" s="6">
        <f t="shared" si="4"/>
        <v>-34.686236078000007</v>
      </c>
      <c r="I18">
        <f t="shared" si="5"/>
        <v>9.8447798748817428E-2</v>
      </c>
    </row>
    <row r="21" spans="1:9" x14ac:dyDescent="0.3">
      <c r="A21" s="22" t="s">
        <v>29</v>
      </c>
      <c r="B21" s="22"/>
      <c r="C21" s="22"/>
      <c r="D21" s="22"/>
      <c r="E21" s="22"/>
      <c r="F21" s="22"/>
      <c r="G21" s="22"/>
    </row>
    <row r="22" spans="1:9" x14ac:dyDescent="0.3">
      <c r="A22" s="1" t="s">
        <v>30</v>
      </c>
      <c r="B22" s="22" t="s">
        <v>31</v>
      </c>
      <c r="C22" s="22"/>
      <c r="D22" s="22" t="s">
        <v>32</v>
      </c>
      <c r="E22" s="22"/>
      <c r="F22" s="1" t="s">
        <v>33</v>
      </c>
      <c r="G22" t="s">
        <v>33</v>
      </c>
    </row>
    <row r="23" spans="1:9" x14ac:dyDescent="0.3">
      <c r="A23" s="1">
        <v>35</v>
      </c>
      <c r="B23" s="4">
        <v>2246</v>
      </c>
      <c r="C23" s="4">
        <v>2246</v>
      </c>
      <c r="D23" s="4">
        <f>B23-$B$11</f>
        <v>590.59999999999991</v>
      </c>
      <c r="E23" s="4">
        <f>C23-$B$11</f>
        <v>590.59999999999991</v>
      </c>
      <c r="F23" s="4">
        <f>AVERAGE(D23:E23)</f>
        <v>590.59999999999991</v>
      </c>
      <c r="G23" s="5">
        <f>AVERAGE(B23:C23)</f>
        <v>2246</v>
      </c>
      <c r="H23" s="6">
        <f>G23*0.0594-98.801</f>
        <v>34.611399999999989</v>
      </c>
      <c r="I23">
        <f>(H23-A23)^2</f>
        <v>0.15100996000000849</v>
      </c>
    </row>
    <row r="24" spans="1:9" x14ac:dyDescent="0.3">
      <c r="A24" s="1">
        <v>30</v>
      </c>
      <c r="B24" s="4">
        <v>2159.47541</v>
      </c>
      <c r="C24" s="4">
        <v>2172.3272700000002</v>
      </c>
      <c r="D24" s="4">
        <f t="shared" ref="D24:D37" si="6">B24-$B$11</f>
        <v>504.07540999999992</v>
      </c>
      <c r="E24" s="4">
        <f t="shared" ref="E24:E37" si="7">C24-$B$11</f>
        <v>516.92727000000014</v>
      </c>
      <c r="F24" s="4">
        <f t="shared" ref="F24:F37" si="8">AVERAGE(D24:E24)</f>
        <v>510.50134000000003</v>
      </c>
      <c r="G24" s="5">
        <f t="shared" ref="G24:G37" si="9">AVERAGE(B24:C24)</f>
        <v>2165.9013400000003</v>
      </c>
      <c r="H24" s="6">
        <f t="shared" ref="H24:H37" si="10">G24*0.0594-98.801</f>
        <v>29.853539596000033</v>
      </c>
      <c r="I24">
        <f t="shared" ref="I24:I37" si="11">(H24-A24)^2</f>
        <v>2.1450649939833571E-2</v>
      </c>
    </row>
    <row r="25" spans="1:9" x14ac:dyDescent="0.3">
      <c r="A25" s="1">
        <v>25</v>
      </c>
      <c r="B25" s="4">
        <v>2074.42857</v>
      </c>
      <c r="C25" s="4">
        <v>2091.0250000000001</v>
      </c>
      <c r="D25" s="4">
        <f t="shared" si="6"/>
        <v>419.02856999999995</v>
      </c>
      <c r="E25" s="4">
        <f t="shared" si="7"/>
        <v>435.625</v>
      </c>
      <c r="F25" s="4">
        <f t="shared" si="8"/>
        <v>427.32678499999997</v>
      </c>
      <c r="G25" s="5">
        <f t="shared" si="9"/>
        <v>2082.7267849999998</v>
      </c>
      <c r="H25" s="6">
        <f t="shared" si="10"/>
        <v>24.912971028999991</v>
      </c>
      <c r="I25">
        <f t="shared" si="11"/>
        <v>7.5740417933204754E-3</v>
      </c>
    </row>
    <row r="26" spans="1:9" x14ac:dyDescent="0.3">
      <c r="A26" s="1">
        <v>20</v>
      </c>
      <c r="B26" s="4">
        <v>1995.2537299999999</v>
      </c>
      <c r="C26" s="4">
        <v>2005.27027</v>
      </c>
      <c r="D26" s="4">
        <f t="shared" si="6"/>
        <v>339.85372999999981</v>
      </c>
      <c r="E26" s="4">
        <f t="shared" si="7"/>
        <v>349.87026999999989</v>
      </c>
      <c r="F26" s="4">
        <f t="shared" si="8"/>
        <v>344.86199999999985</v>
      </c>
      <c r="G26" s="5">
        <f t="shared" si="9"/>
        <v>2000.2619999999999</v>
      </c>
      <c r="H26" s="6">
        <f t="shared" si="10"/>
        <v>20.014562799999993</v>
      </c>
      <c r="I26">
        <f t="shared" si="11"/>
        <v>2.1207514383979914E-4</v>
      </c>
    </row>
    <row r="27" spans="1:9" x14ac:dyDescent="0.3">
      <c r="A27" s="1">
        <v>15</v>
      </c>
      <c r="B27" s="4">
        <v>1909.9749999999999</v>
      </c>
      <c r="C27" s="4">
        <v>1921.5285699999999</v>
      </c>
      <c r="D27" s="4">
        <f t="shared" si="6"/>
        <v>254.57499999999982</v>
      </c>
      <c r="E27" s="4">
        <f t="shared" si="7"/>
        <v>266.12856999999985</v>
      </c>
      <c r="F27" s="4">
        <f t="shared" si="8"/>
        <v>260.35178499999984</v>
      </c>
      <c r="G27" s="5">
        <f t="shared" si="9"/>
        <v>1915.7517849999999</v>
      </c>
      <c r="H27" s="6">
        <f t="shared" si="10"/>
        <v>14.994656028999998</v>
      </c>
      <c r="I27">
        <f t="shared" si="11"/>
        <v>2.8558026048862984E-5</v>
      </c>
    </row>
    <row r="28" spans="1:9" x14ac:dyDescent="0.3">
      <c r="A28" s="1">
        <v>10</v>
      </c>
      <c r="B28" s="4">
        <v>1830.19697</v>
      </c>
      <c r="C28" s="4">
        <v>1841.4871800000001</v>
      </c>
      <c r="D28" s="4">
        <f t="shared" si="6"/>
        <v>174.79696999999987</v>
      </c>
      <c r="E28" s="4">
        <f t="shared" si="7"/>
        <v>186.08717999999999</v>
      </c>
      <c r="F28" s="4">
        <f t="shared" si="8"/>
        <v>180.44207499999993</v>
      </c>
      <c r="G28" s="5">
        <f t="shared" si="9"/>
        <v>1835.842075</v>
      </c>
      <c r="H28" s="6">
        <f t="shared" si="10"/>
        <v>10.248019255000003</v>
      </c>
      <c r="I28">
        <f t="shared" si="11"/>
        <v>6.1513550850756341E-2</v>
      </c>
    </row>
    <row r="29" spans="1:9" x14ac:dyDescent="0.3">
      <c r="A29" s="1">
        <v>5</v>
      </c>
      <c r="B29" s="4">
        <v>1745.4776099999999</v>
      </c>
      <c r="C29" s="4">
        <v>1753.6515199999999</v>
      </c>
      <c r="D29" s="4">
        <f t="shared" si="6"/>
        <v>90.077609999999822</v>
      </c>
      <c r="E29" s="4">
        <f t="shared" si="7"/>
        <v>98.2515199999998</v>
      </c>
      <c r="F29" s="4">
        <f t="shared" si="8"/>
        <v>94.164564999999811</v>
      </c>
      <c r="G29" s="5">
        <f t="shared" si="9"/>
        <v>1749.5645649999999</v>
      </c>
      <c r="H29" s="6">
        <f t="shared" si="10"/>
        <v>5.1231351609999933</v>
      </c>
      <c r="I29">
        <f t="shared" si="11"/>
        <v>1.5162267874494279E-2</v>
      </c>
    </row>
    <row r="30" spans="1:9" x14ac:dyDescent="0.3">
      <c r="A30" s="1">
        <v>0</v>
      </c>
      <c r="B30" s="4">
        <v>1654.68966</v>
      </c>
      <c r="C30" s="4">
        <v>1670.71642</v>
      </c>
      <c r="D30" s="4">
        <f t="shared" si="6"/>
        <v>-0.71034000000008746</v>
      </c>
      <c r="E30" s="4">
        <f t="shared" si="7"/>
        <v>15.31641999999988</v>
      </c>
      <c r="F30" s="4">
        <f t="shared" si="8"/>
        <v>7.3030399999998963</v>
      </c>
      <c r="G30" s="5">
        <f t="shared" si="9"/>
        <v>1662.7030399999999</v>
      </c>
      <c r="H30" s="6">
        <f t="shared" si="10"/>
        <v>-3.6439424000008103E-2</v>
      </c>
      <c r="I30">
        <f t="shared" si="11"/>
        <v>1.3278316214523666E-3</v>
      </c>
    </row>
    <row r="31" spans="1:9" x14ac:dyDescent="0.3">
      <c r="A31" s="1">
        <v>-5</v>
      </c>
      <c r="B31" s="4">
        <v>1573.9054100000001</v>
      </c>
      <c r="C31" s="4">
        <v>1587.1159399999999</v>
      </c>
      <c r="D31" s="4">
        <f t="shared" si="6"/>
        <v>-81.494590000000017</v>
      </c>
      <c r="E31" s="4">
        <f t="shared" si="7"/>
        <v>-68.284060000000181</v>
      </c>
      <c r="F31" s="4">
        <f t="shared" si="8"/>
        <v>-74.889325000000099</v>
      </c>
      <c r="G31" s="5">
        <f t="shared" si="9"/>
        <v>1580.510675</v>
      </c>
      <c r="H31" s="6">
        <f t="shared" si="10"/>
        <v>-4.9186659049999975</v>
      </c>
      <c r="I31">
        <f t="shared" si="11"/>
        <v>6.6152350094694397E-3</v>
      </c>
    </row>
    <row r="32" spans="1:9" x14ac:dyDescent="0.3">
      <c r="A32" s="1">
        <v>-10</v>
      </c>
      <c r="B32" s="4">
        <v>1484.48</v>
      </c>
      <c r="C32" s="4">
        <v>1499.1388899999999</v>
      </c>
      <c r="D32" s="4">
        <f t="shared" si="6"/>
        <v>-170.92000000000007</v>
      </c>
      <c r="E32" s="4">
        <f t="shared" si="7"/>
        <v>-156.26111000000014</v>
      </c>
      <c r="F32" s="4">
        <f t="shared" si="8"/>
        <v>-163.59055500000011</v>
      </c>
      <c r="G32" s="5">
        <f t="shared" si="9"/>
        <v>1491.8094449999999</v>
      </c>
      <c r="H32" s="6">
        <f t="shared" si="10"/>
        <v>-10.187518967000003</v>
      </c>
      <c r="I32">
        <f t="shared" si="11"/>
        <v>3.5163362984748057E-2</v>
      </c>
    </row>
    <row r="33" spans="1:9" x14ac:dyDescent="0.3">
      <c r="A33" s="1">
        <v>-15</v>
      </c>
      <c r="B33" s="4">
        <v>1403.01235</v>
      </c>
      <c r="C33" s="4">
        <v>1417.2985100000001</v>
      </c>
      <c r="D33" s="4">
        <f t="shared" si="6"/>
        <v>-252.38765000000012</v>
      </c>
      <c r="E33" s="4">
        <f t="shared" si="7"/>
        <v>-238.10149000000001</v>
      </c>
      <c r="F33" s="4">
        <f t="shared" si="8"/>
        <v>-245.24457000000007</v>
      </c>
      <c r="G33" s="5">
        <f t="shared" si="9"/>
        <v>1410.15543</v>
      </c>
      <c r="H33" s="6">
        <f t="shared" si="10"/>
        <v>-15.037767458000005</v>
      </c>
      <c r="I33">
        <f t="shared" si="11"/>
        <v>1.4263808837821185E-3</v>
      </c>
    </row>
    <row r="34" spans="1:9" x14ac:dyDescent="0.3">
      <c r="A34" s="1">
        <v>-20</v>
      </c>
      <c r="B34" s="4">
        <v>1323.75</v>
      </c>
      <c r="C34" s="4">
        <v>1331.1486500000001</v>
      </c>
      <c r="D34" s="4">
        <f t="shared" si="6"/>
        <v>-331.65000000000009</v>
      </c>
      <c r="E34" s="4">
        <f t="shared" si="7"/>
        <v>-324.25135</v>
      </c>
      <c r="F34" s="4">
        <f t="shared" si="8"/>
        <v>-327.95067500000005</v>
      </c>
      <c r="G34" s="5">
        <f t="shared" si="9"/>
        <v>1327.449325</v>
      </c>
      <c r="H34" s="6">
        <f t="shared" si="10"/>
        <v>-19.950510094999999</v>
      </c>
      <c r="I34">
        <f t="shared" si="11"/>
        <v>2.4492506969091736E-3</v>
      </c>
    </row>
    <row r="35" spans="1:9" x14ac:dyDescent="0.3">
      <c r="A35" s="1">
        <v>-25</v>
      </c>
      <c r="B35" s="4">
        <v>1230.9178099999999</v>
      </c>
      <c r="C35" s="4">
        <v>1246.97183</v>
      </c>
      <c r="D35" s="4">
        <f t="shared" si="6"/>
        <v>-424.48219000000017</v>
      </c>
      <c r="E35" s="4">
        <f t="shared" si="7"/>
        <v>-408.42817000000014</v>
      </c>
      <c r="F35" s="4">
        <f t="shared" si="8"/>
        <v>-416.45518000000015</v>
      </c>
      <c r="G35" s="5">
        <f t="shared" si="9"/>
        <v>1238.9448199999999</v>
      </c>
      <c r="H35" s="6">
        <f t="shared" si="10"/>
        <v>-25.207677692000004</v>
      </c>
      <c r="I35">
        <f t="shared" si="11"/>
        <v>4.3130023754448653E-2</v>
      </c>
    </row>
    <row r="36" spans="1:9" x14ac:dyDescent="0.3">
      <c r="A36" s="1">
        <v>-30</v>
      </c>
      <c r="B36" s="4">
        <v>1149.3157900000001</v>
      </c>
      <c r="C36" s="4">
        <v>1159.60563</v>
      </c>
      <c r="D36" s="4">
        <f t="shared" si="6"/>
        <v>-506.08420999999998</v>
      </c>
      <c r="E36" s="4">
        <f t="shared" si="7"/>
        <v>-495.79437000000007</v>
      </c>
      <c r="F36" s="4">
        <f t="shared" si="8"/>
        <v>-500.93929000000003</v>
      </c>
      <c r="G36" s="5">
        <f t="shared" si="9"/>
        <v>1154.4607100000001</v>
      </c>
      <c r="H36" s="6">
        <f t="shared" si="10"/>
        <v>-30.226033825999991</v>
      </c>
      <c r="I36">
        <f t="shared" si="11"/>
        <v>5.1091290496194305E-2</v>
      </c>
    </row>
    <row r="37" spans="1:9" x14ac:dyDescent="0.3">
      <c r="A37" s="1">
        <v>-35</v>
      </c>
      <c r="B37" s="4">
        <v>1075.6285700000001</v>
      </c>
      <c r="C37" s="4">
        <v>1075.6285700000001</v>
      </c>
      <c r="D37" s="4">
        <f t="shared" si="6"/>
        <v>-579.77143000000001</v>
      </c>
      <c r="E37" s="4">
        <f t="shared" si="7"/>
        <v>-579.77143000000001</v>
      </c>
      <c r="F37" s="4">
        <f t="shared" si="8"/>
        <v>-579.77143000000001</v>
      </c>
      <c r="G37" s="5">
        <f t="shared" si="9"/>
        <v>1075.6285700000001</v>
      </c>
      <c r="H37" s="6">
        <f t="shared" si="10"/>
        <v>-34.908662941999992</v>
      </c>
      <c r="I37">
        <f t="shared" si="11"/>
        <v>8.3424581640967679E-3</v>
      </c>
    </row>
  </sheetData>
  <mergeCells count="6">
    <mergeCell ref="B3:C3"/>
    <mergeCell ref="D3:E3"/>
    <mergeCell ref="B22:C22"/>
    <mergeCell ref="D22:E22"/>
    <mergeCell ref="A2:G2"/>
    <mergeCell ref="A21:G21"/>
  </mergeCells>
  <pageMargins left="0.7" right="0.7" top="0.75" bottom="0.75" header="0.3" footer="0.3"/>
  <ignoredErrors>
    <ignoredError sqref="G4:G18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F69D-4DEE-48BA-8B5A-2D5F607026A7}">
  <dimension ref="B1:K25"/>
  <sheetViews>
    <sheetView workbookViewId="0">
      <selection activeCell="C19" sqref="C19:C25"/>
    </sheetView>
  </sheetViews>
  <sheetFormatPr defaultRowHeight="14.4" x14ac:dyDescent="0.3"/>
  <cols>
    <col min="5" max="6" width="16.21875" bestFit="1" customWidth="1"/>
  </cols>
  <sheetData>
    <row r="1" spans="2:11" x14ac:dyDescent="0.3">
      <c r="B1" s="22" t="s">
        <v>30</v>
      </c>
      <c r="C1" s="22"/>
      <c r="D1" s="22"/>
    </row>
    <row r="2" spans="2:11" x14ac:dyDescent="0.3">
      <c r="B2" t="s">
        <v>235</v>
      </c>
      <c r="C2" t="s">
        <v>236</v>
      </c>
      <c r="D2" t="s">
        <v>237</v>
      </c>
      <c r="E2" t="s">
        <v>238</v>
      </c>
      <c r="F2" t="s">
        <v>239</v>
      </c>
      <c r="G2" t="s">
        <v>33</v>
      </c>
      <c r="J2" t="s">
        <v>240</v>
      </c>
      <c r="K2">
        <v>1.0101</v>
      </c>
    </row>
    <row r="3" spans="2:11" x14ac:dyDescent="0.3">
      <c r="B3">
        <v>35</v>
      </c>
      <c r="C3" s="6">
        <v>33.722289280699997</v>
      </c>
      <c r="D3" s="6">
        <v>33.722289280699997</v>
      </c>
      <c r="E3" s="6">
        <f>C3-$C$10</f>
        <v>33.982765467217</v>
      </c>
      <c r="F3" s="6">
        <f>D3-$C$10</f>
        <v>33.982765467217</v>
      </c>
      <c r="G3" s="6">
        <f>AVERAGE(E3:F3)</f>
        <v>33.982765467217</v>
      </c>
      <c r="H3" s="6">
        <f>G3*$K$2+$K$3</f>
        <v>34.509291398435892</v>
      </c>
      <c r="J3" t="s">
        <v>241</v>
      </c>
      <c r="K3">
        <v>0.18329999999999999</v>
      </c>
    </row>
    <row r="4" spans="2:11" x14ac:dyDescent="0.3">
      <c r="B4">
        <v>30</v>
      </c>
      <c r="C4" s="6">
        <v>28.819240497599999</v>
      </c>
      <c r="D4" s="6">
        <v>29.614852989399999</v>
      </c>
      <c r="E4" s="6">
        <f t="shared" ref="E4:F17" si="0">C4-$C$10</f>
        <v>29.079716684116999</v>
      </c>
      <c r="F4" s="6">
        <f t="shared" si="0"/>
        <v>29.875329175916999</v>
      </c>
      <c r="G4" s="6">
        <f t="shared" ref="G4:G17" si="1">AVERAGE(E4:F4)</f>
        <v>29.477522930016999</v>
      </c>
      <c r="H4" s="6">
        <f t="shared" ref="H4:H17" si="2">G4*$K$2+$K$3</f>
        <v>29.95854591161017</v>
      </c>
    </row>
    <row r="5" spans="2:11" x14ac:dyDescent="0.3">
      <c r="B5">
        <v>25</v>
      </c>
      <c r="C5" s="6">
        <v>24.0542857306</v>
      </c>
      <c r="D5" s="6">
        <v>24.9849182504</v>
      </c>
      <c r="E5" s="6">
        <f t="shared" si="0"/>
        <v>24.314761917117</v>
      </c>
      <c r="F5" s="6">
        <f t="shared" si="0"/>
        <v>25.245394436917</v>
      </c>
      <c r="G5" s="6">
        <f t="shared" si="1"/>
        <v>24.780078177017</v>
      </c>
      <c r="H5" s="6">
        <f t="shared" si="2"/>
        <v>25.213656966604869</v>
      </c>
    </row>
    <row r="6" spans="2:11" x14ac:dyDescent="0.3">
      <c r="B6">
        <v>20</v>
      </c>
      <c r="C6" s="6">
        <v>19.107499909400001</v>
      </c>
      <c r="D6" s="6">
        <v>19.954755969200001</v>
      </c>
      <c r="E6" s="6">
        <f t="shared" si="0"/>
        <v>19.367976095917001</v>
      </c>
      <c r="F6" s="6">
        <f t="shared" si="0"/>
        <v>20.215232155717</v>
      </c>
      <c r="G6" s="6">
        <f t="shared" si="1"/>
        <v>19.791604125817003</v>
      </c>
      <c r="H6" s="6">
        <f t="shared" si="2"/>
        <v>20.174799327487754</v>
      </c>
    </row>
    <row r="7" spans="2:11" x14ac:dyDescent="0.3">
      <c r="B7">
        <v>15</v>
      </c>
      <c r="C7" s="6">
        <v>14.105333341</v>
      </c>
      <c r="D7" s="6">
        <v>14.874027782000001</v>
      </c>
      <c r="E7" s="6">
        <f t="shared" si="0"/>
        <v>14.365809527516999</v>
      </c>
      <c r="F7" s="6">
        <f t="shared" si="0"/>
        <v>15.134503968517</v>
      </c>
      <c r="G7" s="6">
        <f t="shared" si="1"/>
        <v>14.750156748017</v>
      </c>
      <c r="H7" s="6">
        <f t="shared" si="2"/>
        <v>15.082433331171972</v>
      </c>
    </row>
    <row r="8" spans="2:11" x14ac:dyDescent="0.3">
      <c r="B8">
        <v>10</v>
      </c>
      <c r="C8" s="6">
        <v>9.1107575821199998</v>
      </c>
      <c r="D8" s="6">
        <v>10.1348001862</v>
      </c>
      <c r="E8" s="6">
        <f t="shared" si="0"/>
        <v>9.3712337686369995</v>
      </c>
      <c r="F8" s="6">
        <f t="shared" si="0"/>
        <v>10.395276372716999</v>
      </c>
      <c r="G8" s="6">
        <f t="shared" si="1"/>
        <v>9.8832550706769986</v>
      </c>
      <c r="H8" s="6">
        <f t="shared" si="2"/>
        <v>10.166375946890835</v>
      </c>
    </row>
    <row r="9" spans="2:11" x14ac:dyDescent="0.3">
      <c r="B9">
        <v>5</v>
      </c>
      <c r="C9" s="6">
        <v>4.0925334008499998</v>
      </c>
      <c r="D9" s="6">
        <v>4.87888892492</v>
      </c>
      <c r="E9" s="6">
        <f t="shared" si="0"/>
        <v>4.3530095873669996</v>
      </c>
      <c r="F9" s="6">
        <f t="shared" si="0"/>
        <v>5.1393651114369998</v>
      </c>
      <c r="G9" s="6">
        <f t="shared" si="1"/>
        <v>4.7461873494019997</v>
      </c>
      <c r="H9" s="6">
        <f t="shared" si="2"/>
        <v>4.9774238416309595</v>
      </c>
    </row>
    <row r="10" spans="2:11" x14ac:dyDescent="0.3">
      <c r="B10">
        <v>0</v>
      </c>
      <c r="C10" s="6">
        <v>-0.260476186517</v>
      </c>
      <c r="D10" s="6">
        <v>-4.29333330194E-2</v>
      </c>
      <c r="E10" s="6">
        <f t="shared" si="0"/>
        <v>0</v>
      </c>
      <c r="F10" s="6">
        <f t="shared" si="0"/>
        <v>0.2175428534976</v>
      </c>
      <c r="G10" s="6">
        <f t="shared" si="1"/>
        <v>0.1087714267488</v>
      </c>
      <c r="H10" s="6">
        <f t="shared" si="2"/>
        <v>0.29317001815896288</v>
      </c>
    </row>
    <row r="11" spans="2:11" x14ac:dyDescent="0.3">
      <c r="B11">
        <v>-5</v>
      </c>
      <c r="C11" s="6">
        <v>-5.6354237330199997</v>
      </c>
      <c r="D11" s="6">
        <v>-5.0985937155799999</v>
      </c>
      <c r="E11" s="6">
        <f t="shared" si="0"/>
        <v>-5.3749475465029999</v>
      </c>
      <c r="F11" s="6">
        <f t="shared" si="0"/>
        <v>-4.8381175290630001</v>
      </c>
      <c r="G11" s="6">
        <f t="shared" si="1"/>
        <v>-5.106532537783</v>
      </c>
      <c r="H11" s="6">
        <f t="shared" si="2"/>
        <v>-4.9748085164146083</v>
      </c>
    </row>
    <row r="12" spans="2:11" x14ac:dyDescent="0.3">
      <c r="B12">
        <v>-10</v>
      </c>
      <c r="C12" s="6">
        <v>-11.002272591400001</v>
      </c>
      <c r="D12" s="6">
        <v>-9.9125756350399996</v>
      </c>
      <c r="E12" s="6">
        <f t="shared" si="0"/>
        <v>-10.741796404883001</v>
      </c>
      <c r="F12" s="6">
        <f t="shared" si="0"/>
        <v>-9.6520994485229998</v>
      </c>
      <c r="G12" s="6">
        <f t="shared" si="1"/>
        <v>-10.196947926703</v>
      </c>
      <c r="H12" s="6">
        <f t="shared" si="2"/>
        <v>-10.116637100762702</v>
      </c>
    </row>
    <row r="13" spans="2:11" x14ac:dyDescent="0.3">
      <c r="B13">
        <v>-15</v>
      </c>
      <c r="C13" s="6">
        <v>-15.6460294022</v>
      </c>
      <c r="D13" s="6">
        <v>-14.959062635900001</v>
      </c>
      <c r="E13" s="6">
        <f t="shared" si="0"/>
        <v>-15.385553215683</v>
      </c>
      <c r="F13" s="6">
        <f t="shared" si="0"/>
        <v>-14.698586449383001</v>
      </c>
      <c r="G13" s="6">
        <f t="shared" si="1"/>
        <v>-15.042069832533</v>
      </c>
      <c r="H13" s="6">
        <f t="shared" si="2"/>
        <v>-15.010694737841584</v>
      </c>
    </row>
    <row r="14" spans="2:11" x14ac:dyDescent="0.3">
      <c r="B14">
        <v>-20</v>
      </c>
      <c r="C14" s="6">
        <v>-20.525616234299999</v>
      </c>
      <c r="D14" s="6">
        <v>-20.035735130300001</v>
      </c>
      <c r="E14" s="6">
        <f t="shared" si="0"/>
        <v>-20.265140047782999</v>
      </c>
      <c r="F14" s="6">
        <f t="shared" si="0"/>
        <v>-19.775258943783001</v>
      </c>
      <c r="G14" s="6">
        <f t="shared" si="1"/>
        <v>-20.020199495783</v>
      </c>
      <c r="H14" s="6">
        <f t="shared" si="2"/>
        <v>-20.03910351069041</v>
      </c>
    </row>
    <row r="15" spans="2:11" x14ac:dyDescent="0.3">
      <c r="B15">
        <v>-25</v>
      </c>
      <c r="C15" s="6">
        <v>-26.055294093000001</v>
      </c>
      <c r="D15" s="6">
        <v>-24.9879684448</v>
      </c>
      <c r="E15" s="6">
        <f t="shared" si="0"/>
        <v>-25.794817906483001</v>
      </c>
      <c r="F15" s="6">
        <f t="shared" si="0"/>
        <v>-24.727492258283</v>
      </c>
      <c r="G15" s="6">
        <f t="shared" si="1"/>
        <v>-25.261155082382999</v>
      </c>
      <c r="H15" s="6">
        <f t="shared" si="2"/>
        <v>-25.332992748715068</v>
      </c>
    </row>
    <row r="16" spans="2:11" x14ac:dyDescent="0.3">
      <c r="B16">
        <v>-30</v>
      </c>
      <c r="C16" s="6">
        <v>-31.039024422800001</v>
      </c>
      <c r="D16" s="6">
        <v>-29.6395942069</v>
      </c>
      <c r="E16" s="6">
        <f t="shared" si="0"/>
        <v>-30.778548236283001</v>
      </c>
      <c r="F16" s="6">
        <f t="shared" si="0"/>
        <v>-29.379118020383</v>
      </c>
      <c r="G16" s="6">
        <f t="shared" si="1"/>
        <v>-30.078833128333002</v>
      </c>
      <c r="H16" s="6">
        <f t="shared" si="2"/>
        <v>-30.199329342929168</v>
      </c>
    </row>
    <row r="17" spans="2:8" x14ac:dyDescent="0.3">
      <c r="B17">
        <v>-35</v>
      </c>
      <c r="C17" s="6">
        <v>-34.796901326799997</v>
      </c>
      <c r="D17" s="6">
        <v>-34.796901326799997</v>
      </c>
      <c r="E17" s="6">
        <f t="shared" si="0"/>
        <v>-34.536425140282994</v>
      </c>
      <c r="F17" s="6">
        <f t="shared" si="0"/>
        <v>-34.536425140282994</v>
      </c>
      <c r="G17" s="6">
        <f t="shared" si="1"/>
        <v>-34.536425140282994</v>
      </c>
      <c r="H17" s="6">
        <f t="shared" si="2"/>
        <v>-34.70194303419985</v>
      </c>
    </row>
    <row r="19" spans="2:8" x14ac:dyDescent="0.3">
      <c r="C19">
        <f>C3*$K$2+$K$3</f>
        <v>34.24618440243507</v>
      </c>
    </row>
    <row r="20" spans="2:8" x14ac:dyDescent="0.3">
      <c r="C20">
        <f t="shared" ref="C20:C25" si="3">C4*$K$2+$K$3</f>
        <v>29.29361482662576</v>
      </c>
    </row>
    <row r="21" spans="2:8" x14ac:dyDescent="0.3">
      <c r="C21">
        <f t="shared" si="3"/>
        <v>24.480534016479059</v>
      </c>
    </row>
    <row r="22" spans="2:8" x14ac:dyDescent="0.3">
      <c r="C22">
        <f t="shared" si="3"/>
        <v>19.48378565848494</v>
      </c>
    </row>
    <row r="23" spans="2:8" x14ac:dyDescent="0.3">
      <c r="C23">
        <f t="shared" si="3"/>
        <v>14.431097207744099</v>
      </c>
    </row>
    <row r="24" spans="2:8" x14ac:dyDescent="0.3">
      <c r="C24">
        <f t="shared" si="3"/>
        <v>9.386076233699411</v>
      </c>
    </row>
    <row r="25" spans="2:8" x14ac:dyDescent="0.3">
      <c r="C25">
        <f t="shared" si="3"/>
        <v>4.3171679881985847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B239-E0BD-4997-86E7-60CC8BB44C9A}">
  <dimension ref="B1:K13"/>
  <sheetViews>
    <sheetView topLeftCell="A4" workbookViewId="0">
      <selection activeCell="K18" sqref="K18"/>
    </sheetView>
  </sheetViews>
  <sheetFormatPr defaultColWidth="8.88671875" defaultRowHeight="14.4" x14ac:dyDescent="0.3"/>
  <cols>
    <col min="1" max="1" width="8.88671875" style="1"/>
    <col min="2" max="2" width="11.44140625" style="1" customWidth="1"/>
    <col min="3" max="3" width="21.33203125" style="1" customWidth="1"/>
    <col min="4" max="7" width="8.88671875" style="1"/>
    <col min="8" max="8" width="7.44140625" style="1" customWidth="1"/>
    <col min="9" max="9" width="9.33203125" style="1" customWidth="1"/>
    <col min="10" max="10" width="9.33203125" style="1" bestFit="1" customWidth="1"/>
    <col min="11" max="16384" width="8.88671875" style="1"/>
  </cols>
  <sheetData>
    <row r="1" spans="2:11" x14ac:dyDescent="0.3">
      <c r="B1" s="23" t="s">
        <v>0</v>
      </c>
      <c r="C1" s="3" t="s">
        <v>10</v>
      </c>
      <c r="D1" s="3" t="s">
        <v>11</v>
      </c>
    </row>
    <row r="2" spans="2:11" x14ac:dyDescent="0.3">
      <c r="B2" s="23"/>
      <c r="C2" s="3" t="s">
        <v>12</v>
      </c>
      <c r="D2" s="3">
        <v>3</v>
      </c>
    </row>
    <row r="3" spans="2:11" x14ac:dyDescent="0.3">
      <c r="B3" s="23"/>
      <c r="C3" s="3" t="s">
        <v>13</v>
      </c>
      <c r="D3" s="3">
        <v>1</v>
      </c>
    </row>
    <row r="4" spans="2:11" x14ac:dyDescent="0.3">
      <c r="B4" s="23"/>
      <c r="C4" s="3" t="s">
        <v>14</v>
      </c>
      <c r="D4" s="3">
        <v>5</v>
      </c>
    </row>
    <row r="5" spans="2:11" x14ac:dyDescent="0.3">
      <c r="B5" s="23"/>
      <c r="C5" s="3" t="s">
        <v>15</v>
      </c>
      <c r="D5" s="3">
        <v>6</v>
      </c>
    </row>
    <row r="7" spans="2:11" x14ac:dyDescent="0.3">
      <c r="B7" s="18" t="s">
        <v>16</v>
      </c>
      <c r="C7" s="18" t="s">
        <v>10</v>
      </c>
      <c r="D7" s="18" t="s">
        <v>11</v>
      </c>
      <c r="E7" s="18" t="s">
        <v>19</v>
      </c>
      <c r="F7" s="18"/>
      <c r="G7" s="18"/>
      <c r="H7" s="18"/>
      <c r="I7" s="18"/>
      <c r="J7" s="18"/>
      <c r="K7" s="18"/>
    </row>
    <row r="8" spans="2:11" x14ac:dyDescent="0.3">
      <c r="B8" s="18"/>
      <c r="C8" s="18"/>
      <c r="D8" s="18"/>
      <c r="E8" s="19" t="s">
        <v>17</v>
      </c>
      <c r="F8" s="17" t="s">
        <v>18</v>
      </c>
      <c r="G8" s="17"/>
      <c r="H8" s="17"/>
      <c r="I8" s="18" t="s">
        <v>23</v>
      </c>
      <c r="J8" s="18"/>
      <c r="K8" s="18"/>
    </row>
    <row r="9" spans="2:11" x14ac:dyDescent="0.3">
      <c r="B9" s="18"/>
      <c r="C9" s="18"/>
      <c r="D9" s="18"/>
      <c r="E9" s="20"/>
      <c r="F9" s="2" t="s">
        <v>20</v>
      </c>
      <c r="G9" s="2" t="s">
        <v>21</v>
      </c>
      <c r="H9" s="3" t="s">
        <v>22</v>
      </c>
      <c r="I9" s="2" t="s">
        <v>20</v>
      </c>
      <c r="J9" s="2" t="s">
        <v>21</v>
      </c>
      <c r="K9" s="3" t="s">
        <v>22</v>
      </c>
    </row>
    <row r="10" spans="2:11" x14ac:dyDescent="0.3">
      <c r="B10" s="18"/>
      <c r="C10" s="3" t="s">
        <v>12</v>
      </c>
      <c r="D10" s="3">
        <v>3</v>
      </c>
      <c r="E10" s="3">
        <v>50</v>
      </c>
      <c r="F10" s="3">
        <v>9.9</v>
      </c>
      <c r="G10" s="3">
        <v>7.5</v>
      </c>
      <c r="H10" s="3">
        <v>5</v>
      </c>
      <c r="I10" s="3">
        <v>1980</v>
      </c>
      <c r="J10" s="3">
        <v>1500</v>
      </c>
      <c r="K10" s="3">
        <v>1000</v>
      </c>
    </row>
    <row r="11" spans="2:11" x14ac:dyDescent="0.3">
      <c r="B11" s="18"/>
      <c r="C11" s="3" t="s">
        <v>13</v>
      </c>
      <c r="D11" s="3">
        <v>1</v>
      </c>
      <c r="E11" s="3">
        <v>50</v>
      </c>
      <c r="F11" s="3">
        <v>10</v>
      </c>
      <c r="G11" s="3">
        <v>7.5</v>
      </c>
      <c r="H11" s="3">
        <v>5</v>
      </c>
      <c r="I11" s="3">
        <v>2000</v>
      </c>
      <c r="J11" s="3">
        <v>1500</v>
      </c>
      <c r="K11" s="3">
        <v>1000</v>
      </c>
    </row>
    <row r="12" spans="2:11" x14ac:dyDescent="0.3">
      <c r="B12" s="18"/>
      <c r="C12" s="3" t="s">
        <v>14</v>
      </c>
      <c r="D12" s="3">
        <v>5</v>
      </c>
      <c r="E12" s="3">
        <v>50</v>
      </c>
      <c r="F12" s="3">
        <v>10</v>
      </c>
      <c r="G12" s="3" t="s">
        <v>24</v>
      </c>
      <c r="H12" s="3">
        <v>5</v>
      </c>
      <c r="I12" s="3">
        <v>2000</v>
      </c>
      <c r="J12" s="3" t="s">
        <v>24</v>
      </c>
      <c r="K12" s="3">
        <v>1000</v>
      </c>
    </row>
    <row r="13" spans="2:11" x14ac:dyDescent="0.3">
      <c r="B13" s="18"/>
      <c r="C13" s="3" t="s">
        <v>15</v>
      </c>
      <c r="D13" s="3">
        <v>6</v>
      </c>
      <c r="E13" s="3">
        <v>50</v>
      </c>
      <c r="F13" s="3">
        <v>10</v>
      </c>
      <c r="G13" s="3" t="s">
        <v>24</v>
      </c>
      <c r="H13" s="3">
        <v>5</v>
      </c>
      <c r="I13" s="3">
        <v>2000</v>
      </c>
      <c r="J13" s="3" t="s">
        <v>24</v>
      </c>
      <c r="K13" s="3">
        <v>1000</v>
      </c>
    </row>
  </sheetData>
  <mergeCells count="8">
    <mergeCell ref="E7:K7"/>
    <mergeCell ref="E8:E9"/>
    <mergeCell ref="F8:H8"/>
    <mergeCell ref="I8:K8"/>
    <mergeCell ref="B1:B5"/>
    <mergeCell ref="B7:B13"/>
    <mergeCell ref="C7:C9"/>
    <mergeCell ref="D7:D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6431-F6D0-4842-BA51-57D088BFC89D}">
  <dimension ref="B2:Q26"/>
  <sheetViews>
    <sheetView workbookViewId="0">
      <selection activeCell="K25" sqref="K25"/>
    </sheetView>
  </sheetViews>
  <sheetFormatPr defaultRowHeight="14.4" x14ac:dyDescent="0.3"/>
  <cols>
    <col min="2" max="2" width="19.33203125" customWidth="1"/>
  </cols>
  <sheetData>
    <row r="2" spans="2:3" x14ac:dyDescent="0.3">
      <c r="B2" t="s">
        <v>94</v>
      </c>
      <c r="C2" t="s">
        <v>93</v>
      </c>
    </row>
    <row r="3" spans="2:3" x14ac:dyDescent="0.3">
      <c r="B3" s="5">
        <v>2202.8857715430863</v>
      </c>
      <c r="C3">
        <v>2203</v>
      </c>
    </row>
    <row r="4" spans="2:3" x14ac:dyDescent="0.3">
      <c r="B4" s="5">
        <v>4698.7412587412591</v>
      </c>
      <c r="C4">
        <v>4699</v>
      </c>
    </row>
    <row r="5" spans="2:3" x14ac:dyDescent="0.3">
      <c r="B5" s="5">
        <v>5651.4111111111115</v>
      </c>
      <c r="C5">
        <v>5664</v>
      </c>
    </row>
    <row r="6" spans="2:3" x14ac:dyDescent="0.3">
      <c r="B6" s="5">
        <v>6668.1944444444443</v>
      </c>
      <c r="C6">
        <v>6667</v>
      </c>
    </row>
    <row r="26" spans="17:17" x14ac:dyDescent="0.3">
      <c r="Q26" t="s">
        <v>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006A-E96E-498B-AEBD-5D17712D5020}">
  <dimension ref="B4:F23"/>
  <sheetViews>
    <sheetView workbookViewId="0">
      <selection activeCell="S7" sqref="S7"/>
    </sheetView>
  </sheetViews>
  <sheetFormatPr defaultRowHeight="14.4" x14ac:dyDescent="0.3"/>
  <sheetData>
    <row r="4" spans="2:6" x14ac:dyDescent="0.3">
      <c r="C4" t="s">
        <v>214</v>
      </c>
      <c r="D4" t="s">
        <v>224</v>
      </c>
    </row>
    <row r="5" spans="2:6" x14ac:dyDescent="0.3">
      <c r="C5" t="s">
        <v>215</v>
      </c>
      <c r="D5" t="s">
        <v>216</v>
      </c>
      <c r="E5" t="s">
        <v>217</v>
      </c>
      <c r="F5" t="s">
        <v>218</v>
      </c>
    </row>
    <row r="6" spans="2:6" x14ac:dyDescent="0.3">
      <c r="B6" t="s">
        <v>219</v>
      </c>
      <c r="C6">
        <v>0</v>
      </c>
      <c r="D6">
        <v>-0.81562499539</v>
      </c>
      <c r="E6">
        <f>D6-$D$6</f>
        <v>0</v>
      </c>
      <c r="F6">
        <f>ABS(C6-E6)</f>
        <v>0</v>
      </c>
    </row>
    <row r="7" spans="2:6" x14ac:dyDescent="0.3">
      <c r="B7" s="24" t="s">
        <v>220</v>
      </c>
      <c r="C7">
        <v>40</v>
      </c>
      <c r="D7">
        <v>38.592221578</v>
      </c>
      <c r="E7">
        <f>D7-$D$6</f>
        <v>39.407846573390003</v>
      </c>
      <c r="F7">
        <f t="shared" ref="F7:F12" si="0">ABS(C7-E7)</f>
        <v>0.59215342660999681</v>
      </c>
    </row>
    <row r="8" spans="2:6" x14ac:dyDescent="0.3">
      <c r="B8" s="24"/>
      <c r="C8">
        <v>-40</v>
      </c>
      <c r="D8">
        <v>-41.173333485900002</v>
      </c>
      <c r="E8">
        <f t="shared" ref="E8:E12" si="1">D8-$D$6</f>
        <v>-40.357708490509999</v>
      </c>
      <c r="F8">
        <f t="shared" si="0"/>
        <v>0.35770849050999942</v>
      </c>
    </row>
    <row r="9" spans="2:6" x14ac:dyDescent="0.3">
      <c r="B9" s="24" t="s">
        <v>221</v>
      </c>
      <c r="C9">
        <v>35</v>
      </c>
      <c r="D9">
        <v>33.714893909200001</v>
      </c>
      <c r="E9">
        <f t="shared" si="1"/>
        <v>34.530518904590004</v>
      </c>
      <c r="F9">
        <f t="shared" si="0"/>
        <v>0.46948109540999639</v>
      </c>
    </row>
    <row r="10" spans="2:6" x14ac:dyDescent="0.3">
      <c r="B10" s="24"/>
      <c r="C10">
        <v>-35</v>
      </c>
      <c r="D10">
        <v>-36.131449215700002</v>
      </c>
      <c r="E10">
        <f t="shared" si="1"/>
        <v>-35.315824220309999</v>
      </c>
      <c r="F10">
        <f t="shared" si="0"/>
        <v>0.31582422030999879</v>
      </c>
    </row>
    <row r="11" spans="2:6" x14ac:dyDescent="0.3">
      <c r="B11" s="24" t="s">
        <v>222</v>
      </c>
      <c r="C11">
        <v>-20</v>
      </c>
      <c r="D11">
        <v>-20.62939991</v>
      </c>
      <c r="E11">
        <f t="shared" si="1"/>
        <v>-19.813774914610001</v>
      </c>
      <c r="F11">
        <f t="shared" si="0"/>
        <v>0.18622508538999938</v>
      </c>
    </row>
    <row r="12" spans="2:6" x14ac:dyDescent="0.3">
      <c r="B12" s="24"/>
      <c r="C12">
        <v>-10</v>
      </c>
      <c r="D12">
        <v>-10.482291658699999</v>
      </c>
      <c r="E12">
        <f t="shared" si="1"/>
        <v>-9.66666666331</v>
      </c>
      <c r="F12">
        <f t="shared" si="0"/>
        <v>0.33333333668999998</v>
      </c>
    </row>
    <row r="15" spans="2:6" x14ac:dyDescent="0.3">
      <c r="C15" t="s">
        <v>223</v>
      </c>
      <c r="D15" t="s">
        <v>225</v>
      </c>
    </row>
    <row r="16" spans="2:6" x14ac:dyDescent="0.3">
      <c r="C16" t="s">
        <v>215</v>
      </c>
      <c r="D16" t="s">
        <v>216</v>
      </c>
      <c r="E16" t="s">
        <v>217</v>
      </c>
      <c r="F16" t="s">
        <v>218</v>
      </c>
    </row>
    <row r="17" spans="2:6" x14ac:dyDescent="0.3">
      <c r="B17" t="s">
        <v>219</v>
      </c>
      <c r="C17">
        <v>0</v>
      </c>
      <c r="D17">
        <v>-1.1242857319999999</v>
      </c>
      <c r="E17">
        <f>D17-$D$17</f>
        <v>0</v>
      </c>
      <c r="F17">
        <f>ABS(C17-E17)</f>
        <v>0</v>
      </c>
    </row>
    <row r="18" spans="2:6" x14ac:dyDescent="0.3">
      <c r="B18" s="24" t="s">
        <v>220</v>
      </c>
      <c r="C18">
        <v>40</v>
      </c>
      <c r="D18">
        <v>39.068823197299999</v>
      </c>
      <c r="E18">
        <f>D18-$D$17</f>
        <v>40.193108929299996</v>
      </c>
      <c r="F18">
        <f t="shared" ref="F18:F23" si="2">ABS(C18-E18)</f>
        <v>0.19310892929999568</v>
      </c>
    </row>
    <row r="19" spans="2:6" x14ac:dyDescent="0.3">
      <c r="B19" s="24"/>
      <c r="C19">
        <v>-40</v>
      </c>
      <c r="D19">
        <v>-41.010294297199998</v>
      </c>
      <c r="E19">
        <f t="shared" ref="E19:E23" si="3">D19-$D$17</f>
        <v>-39.886008565200001</v>
      </c>
      <c r="F19">
        <f t="shared" si="2"/>
        <v>0.11399143479999907</v>
      </c>
    </row>
    <row r="20" spans="2:6" x14ac:dyDescent="0.3">
      <c r="B20" s="24" t="s">
        <v>221</v>
      </c>
      <c r="C20">
        <v>35</v>
      </c>
      <c r="D20">
        <v>34.109387923299998</v>
      </c>
      <c r="E20">
        <f t="shared" si="3"/>
        <v>35.233673655299995</v>
      </c>
      <c r="F20">
        <f t="shared" si="2"/>
        <v>0.23367365529999518</v>
      </c>
    </row>
    <row r="21" spans="2:6" x14ac:dyDescent="0.3">
      <c r="B21" s="24"/>
      <c r="C21">
        <v>-35</v>
      </c>
      <c r="D21">
        <v>-35.765576876099999</v>
      </c>
      <c r="E21">
        <f t="shared" si="3"/>
        <v>-34.641291144100002</v>
      </c>
      <c r="F21">
        <f t="shared" si="2"/>
        <v>0.35870885589999801</v>
      </c>
    </row>
    <row r="22" spans="2:6" x14ac:dyDescent="0.3">
      <c r="B22" s="24" t="s">
        <v>222</v>
      </c>
      <c r="C22">
        <v>-20</v>
      </c>
      <c r="D22">
        <v>-20.807777870999999</v>
      </c>
      <c r="E22">
        <f t="shared" si="3"/>
        <v>-19.683492138999998</v>
      </c>
      <c r="F22">
        <f t="shared" si="2"/>
        <v>0.31650786100000161</v>
      </c>
    </row>
    <row r="23" spans="2:6" x14ac:dyDescent="0.3">
      <c r="B23" s="24"/>
      <c r="C23">
        <v>-10</v>
      </c>
      <c r="D23">
        <v>-10.484509973</v>
      </c>
      <c r="E23">
        <f t="shared" si="3"/>
        <v>-9.3602242409999992</v>
      </c>
      <c r="F23">
        <f t="shared" si="2"/>
        <v>0.63977575900000083</v>
      </c>
    </row>
  </sheetData>
  <mergeCells count="6">
    <mergeCell ref="B22:B23"/>
    <mergeCell ref="B7:B8"/>
    <mergeCell ref="B9:B10"/>
    <mergeCell ref="B11:B12"/>
    <mergeCell ref="B18:B19"/>
    <mergeCell ref="B20:B2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C8B3-7D74-449C-91F6-85AA3DBEC97E}">
  <dimension ref="C2:E20"/>
  <sheetViews>
    <sheetView topLeftCell="A13" workbookViewId="0">
      <selection activeCell="H20" sqref="H20"/>
    </sheetView>
  </sheetViews>
  <sheetFormatPr defaultRowHeight="14.4" x14ac:dyDescent="0.3"/>
  <sheetData>
    <row r="2" spans="3:5" x14ac:dyDescent="0.3">
      <c r="C2" s="22" t="s">
        <v>27</v>
      </c>
      <c r="D2" s="22"/>
      <c r="E2" s="22"/>
    </row>
    <row r="3" spans="3:5" x14ac:dyDescent="0.3">
      <c r="C3" t="s">
        <v>25</v>
      </c>
      <c r="D3" t="s">
        <v>26</v>
      </c>
      <c r="E3" t="s">
        <v>28</v>
      </c>
    </row>
    <row r="4" spans="3:5" x14ac:dyDescent="0.3">
      <c r="C4">
        <v>170</v>
      </c>
      <c r="D4">
        <v>130</v>
      </c>
      <c r="E4">
        <v>-40</v>
      </c>
    </row>
    <row r="5" spans="3:5" x14ac:dyDescent="0.3">
      <c r="C5">
        <v>160</v>
      </c>
      <c r="D5">
        <v>125</v>
      </c>
      <c r="E5">
        <v>-35</v>
      </c>
    </row>
    <row r="6" spans="3:5" x14ac:dyDescent="0.3">
      <c r="C6">
        <v>150</v>
      </c>
      <c r="D6">
        <v>120</v>
      </c>
      <c r="E6">
        <v>-30</v>
      </c>
    </row>
    <row r="7" spans="3:5" x14ac:dyDescent="0.3">
      <c r="C7">
        <v>140</v>
      </c>
      <c r="D7">
        <v>115</v>
      </c>
      <c r="E7">
        <v>-25</v>
      </c>
    </row>
    <row r="8" spans="3:5" x14ac:dyDescent="0.3">
      <c r="C8">
        <v>130</v>
      </c>
      <c r="D8">
        <v>110</v>
      </c>
      <c r="E8">
        <v>-20</v>
      </c>
    </row>
    <row r="9" spans="3:5" x14ac:dyDescent="0.3">
      <c r="C9">
        <v>120</v>
      </c>
      <c r="D9">
        <v>105</v>
      </c>
      <c r="E9">
        <v>-15</v>
      </c>
    </row>
    <row r="10" spans="3:5" x14ac:dyDescent="0.3">
      <c r="C10">
        <v>110</v>
      </c>
      <c r="D10">
        <v>100</v>
      </c>
      <c r="E10">
        <v>-10</v>
      </c>
    </row>
    <row r="11" spans="3:5" x14ac:dyDescent="0.3">
      <c r="C11">
        <v>100</v>
      </c>
      <c r="D11">
        <v>95</v>
      </c>
      <c r="E11">
        <v>-5</v>
      </c>
    </row>
    <row r="12" spans="3:5" x14ac:dyDescent="0.3">
      <c r="C12">
        <v>90</v>
      </c>
      <c r="D12">
        <v>90</v>
      </c>
      <c r="E12">
        <v>0</v>
      </c>
    </row>
    <row r="13" spans="3:5" x14ac:dyDescent="0.3">
      <c r="C13">
        <v>80</v>
      </c>
      <c r="D13">
        <v>85</v>
      </c>
      <c r="E13">
        <v>5</v>
      </c>
    </row>
    <row r="14" spans="3:5" x14ac:dyDescent="0.3">
      <c r="C14">
        <v>70</v>
      </c>
      <c r="D14">
        <v>80</v>
      </c>
      <c r="E14">
        <v>10</v>
      </c>
    </row>
    <row r="15" spans="3:5" x14ac:dyDescent="0.3">
      <c r="C15">
        <v>60</v>
      </c>
      <c r="D15">
        <v>75</v>
      </c>
      <c r="E15">
        <v>15</v>
      </c>
    </row>
    <row r="16" spans="3:5" x14ac:dyDescent="0.3">
      <c r="C16">
        <v>50</v>
      </c>
      <c r="D16">
        <v>70</v>
      </c>
      <c r="E16">
        <v>20</v>
      </c>
    </row>
    <row r="17" spans="3:5" x14ac:dyDescent="0.3">
      <c r="C17">
        <v>40</v>
      </c>
      <c r="D17">
        <v>65</v>
      </c>
      <c r="E17">
        <v>25</v>
      </c>
    </row>
    <row r="18" spans="3:5" x14ac:dyDescent="0.3">
      <c r="C18">
        <v>30</v>
      </c>
      <c r="D18">
        <v>60</v>
      </c>
      <c r="E18">
        <v>30</v>
      </c>
    </row>
    <row r="19" spans="3:5" x14ac:dyDescent="0.3">
      <c r="C19">
        <v>20</v>
      </c>
      <c r="D19">
        <v>55</v>
      </c>
      <c r="E19">
        <v>35</v>
      </c>
    </row>
    <row r="20" spans="3:5" x14ac:dyDescent="0.3">
      <c r="C20">
        <v>10</v>
      </c>
      <c r="D20">
        <v>50</v>
      </c>
      <c r="E20">
        <v>40</v>
      </c>
    </row>
  </sheetData>
  <mergeCells count="1">
    <mergeCell ref="C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SN_MacAdress</vt:lpstr>
      <vt:lpstr>RAB</vt:lpstr>
      <vt:lpstr>Jam Kerja</vt:lpstr>
      <vt:lpstr>Connection</vt:lpstr>
      <vt:lpstr>Konektor</vt:lpstr>
      <vt:lpstr>Daftar Project</vt:lpstr>
      <vt:lpstr>Kalibrasi servo rudder</vt:lpstr>
      <vt:lpstr>Validasi Servo Rudder 1</vt:lpstr>
      <vt:lpstr>Konfigurasi RC</vt:lpstr>
      <vt:lpstr>rpm motor prop 1</vt:lpstr>
      <vt:lpstr>Check rudder</vt:lpstr>
      <vt:lpstr>Rudder (unused)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inskal-lab-hidro</dc:creator>
  <cp:lastModifiedBy>inskal labhidrobrin</cp:lastModifiedBy>
  <dcterms:created xsi:type="dcterms:W3CDTF">2015-06-05T18:17:20Z</dcterms:created>
  <dcterms:modified xsi:type="dcterms:W3CDTF">2026-09-25T10:41:22Z</dcterms:modified>
</cp:coreProperties>
</file>